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ityoflosaltos-my.sharepoint.com/personal/hmay_losaltosca_gov/Documents/Desktop/"/>
    </mc:Choice>
  </mc:AlternateContent>
  <xr:revisionPtr revIDLastSave="1690" documentId="8_{9F0FEC33-B8AC-4907-8F2A-D48ED38C3E74}" xr6:coauthVersionLast="47" xr6:coauthVersionMax="47" xr10:uidLastSave="{F628B7B9-B219-4EF7-BDE4-4212CD00C9A8}"/>
  <bookViews>
    <workbookView xWindow="-165" yWindow="-165" windowWidth="29130" windowHeight="15810" activeTab="6" xr2:uid="{22669F82-8DDC-44C1-BCBB-338297DF8C3C}"/>
  </bookViews>
  <sheets>
    <sheet name="Burlingame" sheetId="6" r:id="rId1"/>
    <sheet name="Saratoga" sheetId="5" r:id="rId2"/>
    <sheet name="Campbell" sheetId="4" r:id="rId3"/>
    <sheet name="Los Gatos" sheetId="3" r:id="rId4"/>
    <sheet name="Morgan Hill" sheetId="2" r:id="rId5"/>
    <sheet name="Los Altos" sheetId="1" r:id="rId6"/>
    <sheet name="graph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4" i="3" l="1"/>
  <c r="AI5" i="3"/>
  <c r="AI6" i="3"/>
  <c r="AI7" i="3"/>
  <c r="AI8" i="3"/>
  <c r="AI9" i="3"/>
  <c r="AI10" i="3"/>
  <c r="AI11" i="3"/>
  <c r="AI12" i="3"/>
  <c r="AI3" i="3"/>
  <c r="AG4" i="3"/>
  <c r="AG5" i="3"/>
  <c r="AG6" i="3"/>
  <c r="AG7" i="3"/>
  <c r="AG8" i="3"/>
  <c r="AG9" i="3"/>
  <c r="AG10" i="3"/>
  <c r="AG11" i="3"/>
  <c r="AG12" i="3"/>
  <c r="AG3" i="3"/>
  <c r="AE4" i="3"/>
  <c r="AE5" i="3"/>
  <c r="AE6" i="3"/>
  <c r="AE7" i="3"/>
  <c r="AE8" i="3"/>
  <c r="AE9" i="3"/>
  <c r="AE10" i="3"/>
  <c r="AE11" i="3"/>
  <c r="AE12" i="3"/>
  <c r="AE3" i="3"/>
  <c r="AC4" i="3"/>
  <c r="AC5" i="3"/>
  <c r="AC6" i="3"/>
  <c r="AC7" i="3"/>
  <c r="AC8" i="3"/>
  <c r="AC9" i="3"/>
  <c r="AC10" i="3"/>
  <c r="AC11" i="3"/>
  <c r="AC12" i="3"/>
  <c r="AC3" i="3"/>
  <c r="AA4" i="3"/>
  <c r="AA5" i="3"/>
  <c r="AA6" i="3"/>
  <c r="AA7" i="3"/>
  <c r="AA8" i="3"/>
  <c r="AA9" i="3"/>
  <c r="AA10" i="3"/>
  <c r="AA11" i="3"/>
  <c r="AA12" i="3"/>
  <c r="AA3" i="3"/>
  <c r="Y4" i="3"/>
  <c r="Y5" i="3"/>
  <c r="Y6" i="3"/>
  <c r="Y7" i="3"/>
  <c r="Y8" i="3"/>
  <c r="Y9" i="3"/>
  <c r="Y10" i="3"/>
  <c r="Y11" i="3"/>
  <c r="Y12" i="3"/>
  <c r="Y3" i="3"/>
  <c r="W4" i="3"/>
  <c r="W5" i="3"/>
  <c r="W6" i="3"/>
  <c r="W7" i="3"/>
  <c r="W8" i="3"/>
  <c r="W9" i="3"/>
  <c r="W10" i="3"/>
  <c r="W11" i="3"/>
  <c r="W12" i="3"/>
  <c r="W3" i="3"/>
  <c r="U4" i="3"/>
  <c r="U5" i="3"/>
  <c r="U6" i="3"/>
  <c r="U7" i="3"/>
  <c r="U8" i="3"/>
  <c r="U9" i="3"/>
  <c r="U10" i="3"/>
  <c r="U11" i="3"/>
  <c r="U12" i="3"/>
  <c r="U3" i="3"/>
  <c r="S4" i="3"/>
  <c r="S5" i="3"/>
  <c r="S6" i="3"/>
  <c r="S7" i="3"/>
  <c r="S8" i="3"/>
  <c r="S9" i="3"/>
  <c r="S10" i="3"/>
  <c r="S11" i="3"/>
  <c r="S12" i="3"/>
  <c r="S3" i="3"/>
  <c r="Q4" i="3"/>
  <c r="Q5" i="3"/>
  <c r="Q6" i="3"/>
  <c r="Q7" i="3"/>
  <c r="Q8" i="3"/>
  <c r="Q9" i="3"/>
  <c r="Q10" i="3"/>
  <c r="Q11" i="3"/>
  <c r="Q12" i="3"/>
  <c r="Q3" i="3"/>
  <c r="O4" i="3"/>
  <c r="O5" i="3"/>
  <c r="O6" i="3"/>
  <c r="O7" i="3"/>
  <c r="O8" i="3"/>
  <c r="O9" i="3"/>
  <c r="O10" i="3"/>
  <c r="O11" i="3"/>
  <c r="O12" i="3"/>
  <c r="O3" i="3"/>
  <c r="M4" i="3"/>
  <c r="M5" i="3"/>
  <c r="M6" i="3"/>
  <c r="M7" i="3"/>
  <c r="M8" i="3"/>
  <c r="M9" i="3"/>
  <c r="M10" i="3"/>
  <c r="M11" i="3"/>
  <c r="M12" i="3"/>
  <c r="M3" i="3"/>
  <c r="AU4" i="3"/>
  <c r="AU5" i="3"/>
  <c r="AU6" i="3"/>
  <c r="AU7" i="3"/>
  <c r="AU8" i="3"/>
  <c r="AU9" i="3"/>
  <c r="AU10" i="3"/>
  <c r="AU11" i="3"/>
  <c r="AU12" i="3"/>
  <c r="AU3" i="3"/>
  <c r="AG4" i="6"/>
  <c r="AG5" i="6"/>
  <c r="AG6" i="6"/>
  <c r="AG7" i="6"/>
  <c r="AG8" i="6"/>
  <c r="AG9" i="6"/>
  <c r="AG10" i="6"/>
  <c r="AG11" i="6"/>
  <c r="AG12" i="6"/>
  <c r="AG3" i="6"/>
  <c r="AE4" i="6"/>
  <c r="AE5" i="6"/>
  <c r="AE6" i="6"/>
  <c r="AE7" i="6"/>
  <c r="AE8" i="6"/>
  <c r="AE9" i="6"/>
  <c r="AE10" i="6"/>
  <c r="AE11" i="6"/>
  <c r="AE12" i="6"/>
  <c r="AE3" i="6"/>
  <c r="AC4" i="6"/>
  <c r="AC5" i="6"/>
  <c r="AC6" i="6"/>
  <c r="AC7" i="6"/>
  <c r="AC8" i="6"/>
  <c r="AC9" i="6"/>
  <c r="AC10" i="6"/>
  <c r="AC11" i="6"/>
  <c r="AC12" i="6"/>
  <c r="AC3" i="6"/>
  <c r="AA4" i="6"/>
  <c r="AA5" i="6"/>
  <c r="AA6" i="6"/>
  <c r="AA7" i="6"/>
  <c r="AA8" i="6"/>
  <c r="AA9" i="6"/>
  <c r="AA10" i="6"/>
  <c r="AA11" i="6"/>
  <c r="AA12" i="6"/>
  <c r="AA3" i="6"/>
  <c r="Y4" i="6"/>
  <c r="Y5" i="6"/>
  <c r="Y6" i="6"/>
  <c r="Y7" i="6"/>
  <c r="Y8" i="6"/>
  <c r="Y9" i="6"/>
  <c r="Y10" i="6"/>
  <c r="Y11" i="6"/>
  <c r="Y12" i="6"/>
  <c r="Y3" i="6"/>
  <c r="W4" i="6"/>
  <c r="W5" i="6"/>
  <c r="W6" i="6"/>
  <c r="W7" i="6"/>
  <c r="W8" i="6"/>
  <c r="W9" i="6"/>
  <c r="W10" i="6"/>
  <c r="W11" i="6"/>
  <c r="W12" i="6"/>
  <c r="W3" i="6"/>
  <c r="U4" i="6"/>
  <c r="U5" i="6"/>
  <c r="U6" i="6"/>
  <c r="U7" i="6"/>
  <c r="U8" i="6"/>
  <c r="U9" i="6"/>
  <c r="U10" i="6"/>
  <c r="U11" i="6"/>
  <c r="U12" i="6"/>
  <c r="U3" i="6"/>
  <c r="S4" i="6"/>
  <c r="S5" i="6"/>
  <c r="S6" i="6"/>
  <c r="S7" i="6"/>
  <c r="S8" i="6"/>
  <c r="S9" i="6"/>
  <c r="S10" i="6"/>
  <c r="S11" i="6"/>
  <c r="S12" i="6"/>
  <c r="S3" i="6"/>
  <c r="Q3" i="6"/>
  <c r="O4" i="6"/>
  <c r="O5" i="6"/>
  <c r="O6" i="6"/>
  <c r="O7" i="6"/>
  <c r="O8" i="6"/>
  <c r="O9" i="6"/>
  <c r="O10" i="6"/>
  <c r="O11" i="6"/>
  <c r="O12" i="6"/>
  <c r="O3" i="6"/>
  <c r="M4" i="6"/>
  <c r="M5" i="6"/>
  <c r="M6" i="6"/>
  <c r="M7" i="6"/>
  <c r="M8" i="6"/>
  <c r="M9" i="6"/>
  <c r="M10" i="6"/>
  <c r="M11" i="6"/>
  <c r="M12" i="6"/>
  <c r="M3" i="6"/>
  <c r="AV4" i="5"/>
  <c r="AV5" i="5"/>
  <c r="AV6" i="5"/>
  <c r="AV7" i="5"/>
  <c r="AV8" i="5"/>
  <c r="AV9" i="5"/>
  <c r="AV10" i="5"/>
  <c r="AV11" i="5"/>
  <c r="AV12" i="5"/>
  <c r="AV3" i="5"/>
  <c r="AT3" i="4"/>
  <c r="AW3" i="4"/>
  <c r="AT4" i="4"/>
  <c r="AW4" i="4"/>
  <c r="AT5" i="4"/>
  <c r="AW5" i="4"/>
  <c r="AT6" i="4"/>
  <c r="AW6" i="4"/>
  <c r="AT7" i="4"/>
  <c r="AW7" i="4"/>
  <c r="AT8" i="4"/>
  <c r="AW8" i="4"/>
  <c r="AT9" i="4"/>
  <c r="AW9" i="4"/>
  <c r="AT10" i="4"/>
  <c r="AW10" i="4"/>
  <c r="AT11" i="4"/>
  <c r="AW11" i="4"/>
  <c r="AT12" i="4"/>
  <c r="AW12" i="4"/>
  <c r="AT3" i="2"/>
  <c r="AT4" i="2"/>
  <c r="AT5" i="2"/>
  <c r="AT6" i="2"/>
  <c r="AT7" i="2"/>
  <c r="AT8" i="2"/>
  <c r="AT9" i="2"/>
  <c r="AT10" i="2"/>
  <c r="AT11" i="2"/>
  <c r="AR3" i="2"/>
  <c r="AR4" i="2"/>
  <c r="AR5" i="2"/>
  <c r="AR6" i="2"/>
  <c r="AR7" i="2"/>
  <c r="AR8" i="2"/>
  <c r="AR9" i="2"/>
  <c r="AR10" i="2"/>
  <c r="AR11" i="2"/>
  <c r="AT12" i="2"/>
  <c r="AR12" i="2" s="1"/>
  <c r="BA3" i="3"/>
  <c r="BA4" i="3"/>
  <c r="BA5" i="3"/>
  <c r="BA6" i="3"/>
  <c r="BA7" i="3"/>
  <c r="BA8" i="3"/>
  <c r="BA12" i="3"/>
  <c r="AX11" i="3"/>
  <c r="AY10" i="3"/>
  <c r="AY11" i="3"/>
  <c r="AY3" i="3"/>
  <c r="AX3" i="3" s="1"/>
  <c r="AY4" i="3"/>
  <c r="AX4" i="3" s="1"/>
  <c r="AY5" i="3"/>
  <c r="AX5" i="3" s="1"/>
  <c r="AY6" i="3"/>
  <c r="AX6" i="3" s="1"/>
  <c r="AY7" i="3"/>
  <c r="AX7" i="3" s="1"/>
  <c r="AY8" i="3"/>
  <c r="AX8" i="3" s="1"/>
  <c r="AY9" i="3"/>
  <c r="AY12" i="3"/>
  <c r="AX12" i="3" s="1"/>
  <c r="AT3" i="3"/>
  <c r="AT9" i="3"/>
  <c r="AQ3" i="3"/>
  <c r="AQ4" i="3"/>
  <c r="AQ5" i="3"/>
  <c r="AQ6" i="3"/>
  <c r="AQ7" i="3"/>
  <c r="AQ8" i="3"/>
  <c r="AQ9" i="3"/>
  <c r="AQ10" i="3"/>
  <c r="AQ11" i="3"/>
  <c r="AQ12" i="3"/>
  <c r="AX3" i="5"/>
  <c r="AX4" i="5"/>
  <c r="AX5" i="5"/>
  <c r="AX6" i="5"/>
  <c r="AX7" i="5"/>
  <c r="AX8" i="5"/>
  <c r="AX9" i="5"/>
  <c r="AX10" i="5"/>
  <c r="AX11" i="5"/>
  <c r="AX12" i="5"/>
  <c r="AX3" i="6"/>
  <c r="AY3" i="6" s="1"/>
  <c r="AX5" i="6"/>
  <c r="AX6" i="6"/>
  <c r="AX7" i="6"/>
  <c r="AX8" i="6"/>
  <c r="AX9" i="6"/>
  <c r="AY9" i="6" s="1"/>
  <c r="AY4" i="6"/>
  <c r="AY5" i="6"/>
  <c r="AY6" i="6"/>
  <c r="AY7" i="6"/>
  <c r="AY8" i="6"/>
  <c r="AX10" i="6"/>
  <c r="AY10" i="6" s="1"/>
  <c r="AX11" i="6"/>
  <c r="AY11" i="6" s="1"/>
  <c r="AW12" i="6"/>
  <c r="K3" i="6"/>
  <c r="K4" i="6"/>
  <c r="K5" i="6"/>
  <c r="K6" i="6"/>
  <c r="K7" i="6"/>
  <c r="K8" i="6"/>
  <c r="K9" i="6"/>
  <c r="K10" i="6"/>
  <c r="K11" i="6"/>
  <c r="K12" i="6"/>
  <c r="AK7" i="1"/>
  <c r="AR7" i="1" s="1"/>
  <c r="AU3" i="1"/>
  <c r="AU4" i="1"/>
  <c r="AU5" i="1"/>
  <c r="AU6" i="1"/>
  <c r="AU7" i="1"/>
  <c r="AU8" i="1"/>
  <c r="AU9" i="1"/>
  <c r="AU10" i="1"/>
  <c r="AT10" i="1" s="1"/>
  <c r="AU11" i="1"/>
  <c r="F4" i="6"/>
  <c r="F5" i="6"/>
  <c r="F6" i="6"/>
  <c r="F7" i="6"/>
  <c r="F8" i="6"/>
  <c r="F9" i="6"/>
  <c r="F10" i="6"/>
  <c r="F11" i="6"/>
  <c r="F12" i="6"/>
  <c r="F3" i="6"/>
  <c r="D4" i="6"/>
  <c r="D5" i="6"/>
  <c r="D6" i="6"/>
  <c r="D7" i="6"/>
  <c r="D8" i="6"/>
  <c r="D9" i="6"/>
  <c r="D10" i="6"/>
  <c r="D11" i="6"/>
  <c r="D12" i="6"/>
  <c r="D3" i="6"/>
  <c r="AU12" i="6"/>
  <c r="AS12" i="6"/>
  <c r="AR12" i="6"/>
  <c r="AQ12" i="6"/>
  <c r="AP12" i="6"/>
  <c r="AO12" i="6"/>
  <c r="AM12" i="6"/>
  <c r="AT12" i="6" s="1"/>
  <c r="AU11" i="6"/>
  <c r="AS11" i="6"/>
  <c r="AR11" i="6"/>
  <c r="AQ11" i="6"/>
  <c r="AP11" i="6"/>
  <c r="AO11" i="6"/>
  <c r="AM11" i="6"/>
  <c r="AT11" i="6" s="1"/>
  <c r="AU10" i="6"/>
  <c r="AS10" i="6"/>
  <c r="AR10" i="6"/>
  <c r="AQ10" i="6"/>
  <c r="AP10" i="6"/>
  <c r="AO10" i="6"/>
  <c r="AM10" i="6"/>
  <c r="AT10" i="6" s="1"/>
  <c r="AU9" i="6"/>
  <c r="AS9" i="6"/>
  <c r="AR9" i="6"/>
  <c r="AQ9" i="6"/>
  <c r="AP9" i="6"/>
  <c r="AO9" i="6"/>
  <c r="AM9" i="6"/>
  <c r="AT9" i="6" s="1"/>
  <c r="AU8" i="6"/>
  <c r="AS8" i="6"/>
  <c r="AR8" i="6"/>
  <c r="AQ8" i="6"/>
  <c r="AP8" i="6"/>
  <c r="AO8" i="6"/>
  <c r="AM8" i="6"/>
  <c r="AT8" i="6" s="1"/>
  <c r="AU7" i="6"/>
  <c r="AS7" i="6"/>
  <c r="AR7" i="6"/>
  <c r="AQ7" i="6"/>
  <c r="AP7" i="6"/>
  <c r="AO7" i="6"/>
  <c r="AM7" i="6"/>
  <c r="AT7" i="6" s="1"/>
  <c r="AU6" i="6"/>
  <c r="AS6" i="6"/>
  <c r="AR6" i="6"/>
  <c r="AQ6" i="6"/>
  <c r="AP6" i="6"/>
  <c r="AO6" i="6"/>
  <c r="AM6" i="6"/>
  <c r="AT6" i="6" s="1"/>
  <c r="AU5" i="6"/>
  <c r="AS5" i="6"/>
  <c r="AR5" i="6"/>
  <c r="AQ5" i="6"/>
  <c r="AP5" i="6"/>
  <c r="AO5" i="6"/>
  <c r="AM5" i="6"/>
  <c r="AT5" i="6" s="1"/>
  <c r="AU4" i="6"/>
  <c r="AS4" i="6"/>
  <c r="AR4" i="6"/>
  <c r="AQ4" i="6"/>
  <c r="AP4" i="6"/>
  <c r="AO4" i="6"/>
  <c r="AM4" i="6"/>
  <c r="AT4" i="6" s="1"/>
  <c r="AU3" i="6"/>
  <c r="AS3" i="6"/>
  <c r="AR3" i="6"/>
  <c r="AQ3" i="6"/>
  <c r="AP3" i="6"/>
  <c r="AO3" i="6"/>
  <c r="AM3" i="6"/>
  <c r="AT3" i="6" s="1"/>
  <c r="AU4" i="5"/>
  <c r="AU5" i="5"/>
  <c r="AU6" i="5"/>
  <c r="AU7" i="5"/>
  <c r="AU8" i="5"/>
  <c r="AU9" i="5"/>
  <c r="AU10" i="5"/>
  <c r="AU11" i="5"/>
  <c r="AU12" i="5"/>
  <c r="AU3" i="5"/>
  <c r="AS4" i="5"/>
  <c r="AS5" i="5"/>
  <c r="AS6" i="5"/>
  <c r="AS7" i="5"/>
  <c r="AS8" i="5"/>
  <c r="AS9" i="5"/>
  <c r="AS10" i="5"/>
  <c r="AS11" i="5"/>
  <c r="AS12" i="5"/>
  <c r="AS3" i="5"/>
  <c r="AR4" i="5"/>
  <c r="AR5" i="5"/>
  <c r="AR6" i="5"/>
  <c r="AR7" i="5"/>
  <c r="AR8" i="5"/>
  <c r="AR9" i="5"/>
  <c r="AR10" i="5"/>
  <c r="AR11" i="5"/>
  <c r="AR12" i="5"/>
  <c r="AR3" i="5"/>
  <c r="AQ4" i="5"/>
  <c r="AQ5" i="5"/>
  <c r="AQ6" i="5"/>
  <c r="AQ7" i="5"/>
  <c r="AQ8" i="5"/>
  <c r="AQ9" i="5"/>
  <c r="AQ10" i="5"/>
  <c r="AQ11" i="5"/>
  <c r="AQ12" i="5"/>
  <c r="AQ3" i="5"/>
  <c r="AO4" i="5"/>
  <c r="AT4" i="5" s="1"/>
  <c r="AO5" i="5"/>
  <c r="AT5" i="5" s="1"/>
  <c r="AO6" i="5"/>
  <c r="AT6" i="5" s="1"/>
  <c r="AO7" i="5"/>
  <c r="AT7" i="5" s="1"/>
  <c r="AO8" i="5"/>
  <c r="AT8" i="5" s="1"/>
  <c r="AO9" i="5"/>
  <c r="AT9" i="5" s="1"/>
  <c r="AO10" i="5"/>
  <c r="AT10" i="5" s="1"/>
  <c r="AO11" i="5"/>
  <c r="AT11" i="5" s="1"/>
  <c r="AO12" i="5"/>
  <c r="AT12" i="5" s="1"/>
  <c r="AO3" i="5"/>
  <c r="AT3" i="5" s="1"/>
  <c r="AI4" i="5"/>
  <c r="AI5" i="5"/>
  <c r="AI6" i="5"/>
  <c r="AI7" i="5"/>
  <c r="AI8" i="5"/>
  <c r="AI9" i="5"/>
  <c r="AI10" i="5"/>
  <c r="AI11" i="5"/>
  <c r="AI12" i="5"/>
  <c r="AI3" i="5"/>
  <c r="AG4" i="5"/>
  <c r="AG5" i="5"/>
  <c r="AG6" i="5"/>
  <c r="AG7" i="5"/>
  <c r="AG8" i="5"/>
  <c r="AG9" i="5"/>
  <c r="AG10" i="5"/>
  <c r="AG11" i="5"/>
  <c r="AG12" i="5"/>
  <c r="AG3" i="5"/>
  <c r="AE4" i="5"/>
  <c r="AE5" i="5"/>
  <c r="AE6" i="5"/>
  <c r="AE7" i="5"/>
  <c r="AE8" i="5"/>
  <c r="AE9" i="5"/>
  <c r="AE10" i="5"/>
  <c r="AE11" i="5"/>
  <c r="AE12" i="5"/>
  <c r="AE3" i="5"/>
  <c r="AC4" i="5"/>
  <c r="AC5" i="5"/>
  <c r="AC6" i="5"/>
  <c r="AC7" i="5"/>
  <c r="AC8" i="5"/>
  <c r="AC9" i="5"/>
  <c r="AC10" i="5"/>
  <c r="AC11" i="5"/>
  <c r="AC12" i="5"/>
  <c r="AC3" i="5"/>
  <c r="AA4" i="5"/>
  <c r="AA5" i="5"/>
  <c r="AA6" i="5"/>
  <c r="AA7" i="5"/>
  <c r="AA8" i="5"/>
  <c r="AA9" i="5"/>
  <c r="AA10" i="5"/>
  <c r="AA11" i="5"/>
  <c r="AA12" i="5"/>
  <c r="AA3" i="5"/>
  <c r="Y4" i="5"/>
  <c r="Y5" i="5"/>
  <c r="Y6" i="5"/>
  <c r="Y7" i="5"/>
  <c r="Y8" i="5"/>
  <c r="Y9" i="5"/>
  <c r="Y10" i="5"/>
  <c r="Y11" i="5"/>
  <c r="Y12" i="5"/>
  <c r="Y3" i="5"/>
  <c r="W4" i="5"/>
  <c r="W5" i="5"/>
  <c r="W6" i="5"/>
  <c r="W7" i="5"/>
  <c r="W8" i="5"/>
  <c r="W9" i="5"/>
  <c r="W10" i="5"/>
  <c r="W11" i="5"/>
  <c r="W12" i="5"/>
  <c r="W3" i="5"/>
  <c r="U4" i="5"/>
  <c r="U5" i="5"/>
  <c r="U6" i="5"/>
  <c r="U7" i="5"/>
  <c r="U8" i="5"/>
  <c r="U9" i="5"/>
  <c r="U10" i="5"/>
  <c r="U11" i="5"/>
  <c r="U12" i="5"/>
  <c r="U3" i="5"/>
  <c r="S4" i="5"/>
  <c r="S5" i="5"/>
  <c r="S6" i="5"/>
  <c r="S7" i="5"/>
  <c r="S8" i="5"/>
  <c r="S9" i="5"/>
  <c r="S10" i="5"/>
  <c r="S11" i="5"/>
  <c r="S12" i="5"/>
  <c r="S3" i="5"/>
  <c r="Q4" i="5"/>
  <c r="Q5" i="5"/>
  <c r="Q6" i="5"/>
  <c r="Q7" i="5"/>
  <c r="Q8" i="5"/>
  <c r="Q9" i="5"/>
  <c r="Q10" i="5"/>
  <c r="Q11" i="5"/>
  <c r="Q12" i="5"/>
  <c r="Q3" i="5"/>
  <c r="O4" i="5"/>
  <c r="O5" i="5"/>
  <c r="O6" i="5"/>
  <c r="O7" i="5"/>
  <c r="O8" i="5"/>
  <c r="O9" i="5"/>
  <c r="O10" i="5"/>
  <c r="O11" i="5"/>
  <c r="O12" i="5"/>
  <c r="O3" i="5"/>
  <c r="M4" i="5"/>
  <c r="M5" i="5"/>
  <c r="M6" i="5"/>
  <c r="M7" i="5"/>
  <c r="M8" i="5"/>
  <c r="M9" i="5"/>
  <c r="M10" i="5"/>
  <c r="M11" i="5"/>
  <c r="M12" i="5"/>
  <c r="M3" i="5"/>
  <c r="K4" i="5"/>
  <c r="K5" i="5"/>
  <c r="K6" i="5"/>
  <c r="K7" i="5"/>
  <c r="K8" i="5"/>
  <c r="K9" i="5"/>
  <c r="K10" i="5"/>
  <c r="K11" i="5"/>
  <c r="K12" i="5"/>
  <c r="K3" i="5"/>
  <c r="F4" i="5"/>
  <c r="F5" i="5"/>
  <c r="F6" i="5"/>
  <c r="F7" i="5"/>
  <c r="F8" i="5"/>
  <c r="F9" i="5"/>
  <c r="F10" i="5"/>
  <c r="F11" i="5"/>
  <c r="F12" i="5"/>
  <c r="F3" i="5"/>
  <c r="D4" i="5"/>
  <c r="D5" i="5"/>
  <c r="D6" i="5"/>
  <c r="D7" i="5"/>
  <c r="D8" i="5"/>
  <c r="D9" i="5"/>
  <c r="D10" i="5"/>
  <c r="D11" i="5"/>
  <c r="D12" i="5"/>
  <c r="D3" i="5"/>
  <c r="AS4" i="4"/>
  <c r="AS5" i="4"/>
  <c r="AS6" i="4"/>
  <c r="AS7" i="4"/>
  <c r="AS8" i="4"/>
  <c r="AS9" i="4"/>
  <c r="AS10" i="4"/>
  <c r="AS11" i="4"/>
  <c r="AS12" i="4"/>
  <c r="AS3" i="4"/>
  <c r="AR4" i="4"/>
  <c r="AR5" i="4"/>
  <c r="AR6" i="4"/>
  <c r="AR7" i="4"/>
  <c r="AR8" i="4"/>
  <c r="AR9" i="4"/>
  <c r="AR10" i="4"/>
  <c r="AR11" i="4"/>
  <c r="AR12" i="4"/>
  <c r="AR3" i="4"/>
  <c r="AP4" i="4"/>
  <c r="AP5" i="4"/>
  <c r="AP6" i="4"/>
  <c r="AP7" i="4"/>
  <c r="AP8" i="4"/>
  <c r="AP9" i="4"/>
  <c r="AP10" i="4"/>
  <c r="AP11" i="4"/>
  <c r="AP12" i="4"/>
  <c r="AP3" i="4"/>
  <c r="AO4" i="4"/>
  <c r="AO5" i="4"/>
  <c r="AO6" i="4"/>
  <c r="AO7" i="4"/>
  <c r="AO8" i="4"/>
  <c r="AO9" i="4"/>
  <c r="AO10" i="4"/>
  <c r="AO11" i="4"/>
  <c r="AO12" i="4"/>
  <c r="AO3" i="4"/>
  <c r="AN4" i="4"/>
  <c r="AN5" i="4"/>
  <c r="AN6" i="4"/>
  <c r="AN7" i="4"/>
  <c r="AN8" i="4"/>
  <c r="AN9" i="4"/>
  <c r="AN10" i="4"/>
  <c r="AN11" i="4"/>
  <c r="AN12" i="4"/>
  <c r="AN3" i="4"/>
  <c r="AF4" i="4"/>
  <c r="AF5" i="4"/>
  <c r="AF6" i="4"/>
  <c r="AF7" i="4"/>
  <c r="AF8" i="4"/>
  <c r="AF9" i="4"/>
  <c r="AF10" i="4"/>
  <c r="AF11" i="4"/>
  <c r="AF12" i="4"/>
  <c r="AF3" i="4"/>
  <c r="AD4" i="4"/>
  <c r="AD5" i="4"/>
  <c r="AD6" i="4"/>
  <c r="AD7" i="4"/>
  <c r="AD8" i="4"/>
  <c r="AD9" i="4"/>
  <c r="AD10" i="4"/>
  <c r="AD11" i="4"/>
  <c r="AD12" i="4"/>
  <c r="AD3" i="4"/>
  <c r="AB4" i="4"/>
  <c r="AB5" i="4"/>
  <c r="AB6" i="4"/>
  <c r="AB7" i="4"/>
  <c r="AB8" i="4"/>
  <c r="AB9" i="4"/>
  <c r="AB10" i="4"/>
  <c r="AB11" i="4"/>
  <c r="AB12" i="4"/>
  <c r="AB3" i="4"/>
  <c r="Z4" i="4"/>
  <c r="Z5" i="4"/>
  <c r="Z6" i="4"/>
  <c r="Z7" i="4"/>
  <c r="Z8" i="4"/>
  <c r="Z9" i="4"/>
  <c r="Z10" i="4"/>
  <c r="Z11" i="4"/>
  <c r="Z12" i="4"/>
  <c r="Z3" i="4"/>
  <c r="X4" i="4"/>
  <c r="X5" i="4"/>
  <c r="X6" i="4"/>
  <c r="X7" i="4"/>
  <c r="X8" i="4"/>
  <c r="X9" i="4"/>
  <c r="X10" i="4"/>
  <c r="X11" i="4"/>
  <c r="X12" i="4"/>
  <c r="X3" i="4"/>
  <c r="V4" i="4"/>
  <c r="V5" i="4"/>
  <c r="V6" i="4"/>
  <c r="V7" i="4"/>
  <c r="V8" i="4"/>
  <c r="V9" i="4"/>
  <c r="V10" i="4"/>
  <c r="V11" i="4"/>
  <c r="V12" i="4"/>
  <c r="V3" i="4"/>
  <c r="T4" i="4"/>
  <c r="T5" i="4"/>
  <c r="T6" i="4"/>
  <c r="T7" i="4"/>
  <c r="T8" i="4"/>
  <c r="T9" i="4"/>
  <c r="T10" i="4"/>
  <c r="T11" i="4"/>
  <c r="T12" i="4"/>
  <c r="T3" i="4"/>
  <c r="R4" i="4"/>
  <c r="R5" i="4"/>
  <c r="R6" i="4"/>
  <c r="R7" i="4"/>
  <c r="R8" i="4"/>
  <c r="R9" i="4"/>
  <c r="R10" i="4"/>
  <c r="R11" i="4"/>
  <c r="R12" i="4"/>
  <c r="R3" i="4"/>
  <c r="P4" i="4"/>
  <c r="P5" i="4"/>
  <c r="P6" i="4"/>
  <c r="P7" i="4"/>
  <c r="P8" i="4"/>
  <c r="P9" i="4"/>
  <c r="P10" i="4"/>
  <c r="P11" i="4"/>
  <c r="P12" i="4"/>
  <c r="P3" i="4"/>
  <c r="N4" i="4"/>
  <c r="N5" i="4"/>
  <c r="N6" i="4"/>
  <c r="N7" i="4"/>
  <c r="N8" i="4"/>
  <c r="N9" i="4"/>
  <c r="N10" i="4"/>
  <c r="N11" i="4"/>
  <c r="N12" i="4"/>
  <c r="N3" i="4"/>
  <c r="H4" i="4"/>
  <c r="H5" i="4"/>
  <c r="H6" i="4"/>
  <c r="H7" i="4"/>
  <c r="H8" i="4"/>
  <c r="H9" i="4"/>
  <c r="H10" i="4"/>
  <c r="H11" i="4"/>
  <c r="H12" i="4"/>
  <c r="H3" i="4"/>
  <c r="F4" i="4"/>
  <c r="F5" i="4"/>
  <c r="F6" i="4"/>
  <c r="F7" i="4"/>
  <c r="F8" i="4"/>
  <c r="F9" i="4"/>
  <c r="F10" i="4"/>
  <c r="F11" i="4"/>
  <c r="F12" i="4"/>
  <c r="F3" i="4"/>
  <c r="D4" i="4"/>
  <c r="D5" i="4"/>
  <c r="D6" i="4"/>
  <c r="D7" i="4"/>
  <c r="D8" i="4"/>
  <c r="D9" i="4"/>
  <c r="D10" i="4"/>
  <c r="D11" i="4"/>
  <c r="D12" i="4"/>
  <c r="D3" i="4"/>
  <c r="AL4" i="4"/>
  <c r="AQ4" i="4" s="1"/>
  <c r="AL5" i="4"/>
  <c r="AQ5" i="4" s="1"/>
  <c r="AL6" i="4"/>
  <c r="AQ6" i="4" s="1"/>
  <c r="AL7" i="4"/>
  <c r="AQ7" i="4" s="1"/>
  <c r="AL8" i="4"/>
  <c r="AQ8" i="4" s="1"/>
  <c r="AL9" i="4"/>
  <c r="AQ9" i="4" s="1"/>
  <c r="AL10" i="4"/>
  <c r="AQ10" i="4" s="1"/>
  <c r="AL11" i="4"/>
  <c r="AQ11" i="4" s="1"/>
  <c r="AL12" i="4"/>
  <c r="AQ12" i="4" s="1"/>
  <c r="AL3" i="4"/>
  <c r="AQ3" i="4" s="1"/>
  <c r="L4" i="4"/>
  <c r="L5" i="4"/>
  <c r="L6" i="4"/>
  <c r="L7" i="4"/>
  <c r="L8" i="4"/>
  <c r="L9" i="4"/>
  <c r="L10" i="4"/>
  <c r="L11" i="4"/>
  <c r="L12" i="4"/>
  <c r="L3" i="4"/>
  <c r="AW12" i="3"/>
  <c r="AT12" i="3"/>
  <c r="AS12" i="3"/>
  <c r="AR12" i="3"/>
  <c r="AN12" i="3"/>
  <c r="AV12" i="3" s="1"/>
  <c r="K12" i="3"/>
  <c r="F12" i="3"/>
  <c r="D12" i="3"/>
  <c r="AW11" i="3"/>
  <c r="AT11" i="3"/>
  <c r="AS11" i="3"/>
  <c r="AR11" i="3"/>
  <c r="AN11" i="3"/>
  <c r="AV11" i="3" s="1"/>
  <c r="K11" i="3"/>
  <c r="F11" i="3"/>
  <c r="D11" i="3"/>
  <c r="AW10" i="3"/>
  <c r="AT10" i="3"/>
  <c r="AS10" i="3"/>
  <c r="AR10" i="3"/>
  <c r="AN10" i="3"/>
  <c r="AV10" i="3" s="1"/>
  <c r="K10" i="3"/>
  <c r="F10" i="3"/>
  <c r="D10" i="3"/>
  <c r="AW9" i="3"/>
  <c r="AS9" i="3"/>
  <c r="AR9" i="3"/>
  <c r="AN9" i="3"/>
  <c r="AV9" i="3" s="1"/>
  <c r="K9" i="3"/>
  <c r="F9" i="3"/>
  <c r="D9" i="3"/>
  <c r="AW8" i="3"/>
  <c r="AT8" i="3"/>
  <c r="AS8" i="3"/>
  <c r="AR8" i="3"/>
  <c r="AN8" i="3"/>
  <c r="AV8" i="3" s="1"/>
  <c r="K8" i="3"/>
  <c r="F8" i="3"/>
  <c r="D8" i="3"/>
  <c r="AW7" i="3"/>
  <c r="AT7" i="3"/>
  <c r="AS7" i="3"/>
  <c r="AR7" i="3"/>
  <c r="AN7" i="3"/>
  <c r="AV7" i="3" s="1"/>
  <c r="K7" i="3"/>
  <c r="F7" i="3"/>
  <c r="D7" i="3"/>
  <c r="AW6" i="3"/>
  <c r="AT6" i="3"/>
  <c r="AS6" i="3"/>
  <c r="AR6" i="3"/>
  <c r="AN6" i="3"/>
  <c r="AV6" i="3" s="1"/>
  <c r="K6" i="3"/>
  <c r="F6" i="3"/>
  <c r="D6" i="3"/>
  <c r="AW5" i="3"/>
  <c r="AT5" i="3"/>
  <c r="AS5" i="3"/>
  <c r="AR5" i="3"/>
  <c r="AN5" i="3"/>
  <c r="AV5" i="3" s="1"/>
  <c r="K5" i="3"/>
  <c r="F5" i="3"/>
  <c r="D5" i="3"/>
  <c r="AW4" i="3"/>
  <c r="AT4" i="3"/>
  <c r="AS4" i="3"/>
  <c r="AR4" i="3"/>
  <c r="AN4" i="3"/>
  <c r="AV4" i="3" s="1"/>
  <c r="K4" i="3"/>
  <c r="F4" i="3"/>
  <c r="D4" i="3"/>
  <c r="AW3" i="3"/>
  <c r="AS3" i="3"/>
  <c r="AR3" i="3"/>
  <c r="AN3" i="3"/>
  <c r="AV3" i="3" s="1"/>
  <c r="K3" i="3"/>
  <c r="F3" i="3"/>
  <c r="D3" i="3"/>
  <c r="AP4" i="2"/>
  <c r="AP5" i="2"/>
  <c r="AP6" i="2"/>
  <c r="AP7" i="2"/>
  <c r="AP8" i="2"/>
  <c r="AP9" i="2"/>
  <c r="AP10" i="2"/>
  <c r="AP11" i="2"/>
  <c r="AP12" i="2"/>
  <c r="AP3" i="2"/>
  <c r="AO4" i="2"/>
  <c r="AO5" i="2"/>
  <c r="AO6" i="2"/>
  <c r="AO7" i="2"/>
  <c r="AO8" i="2"/>
  <c r="AO9" i="2"/>
  <c r="AO10" i="2"/>
  <c r="AO11" i="2"/>
  <c r="AO12" i="2"/>
  <c r="AO3" i="2"/>
  <c r="AN4" i="2"/>
  <c r="AN5" i="2"/>
  <c r="AN6" i="2"/>
  <c r="AN7" i="2"/>
  <c r="AN8" i="2"/>
  <c r="AN9" i="2"/>
  <c r="AN10" i="2"/>
  <c r="AN11" i="2"/>
  <c r="AN12" i="2"/>
  <c r="AN3" i="2"/>
  <c r="AM4" i="2"/>
  <c r="AM5" i="2"/>
  <c r="AM6" i="2"/>
  <c r="AM7" i="2"/>
  <c r="AM8" i="2"/>
  <c r="AM9" i="2"/>
  <c r="AM10" i="2"/>
  <c r="AM11" i="2"/>
  <c r="AM12" i="2"/>
  <c r="AM3" i="2"/>
  <c r="AL4" i="2"/>
  <c r="AL5" i="2"/>
  <c r="AL6" i="2"/>
  <c r="AL7" i="2"/>
  <c r="AL8" i="2"/>
  <c r="AL9" i="2"/>
  <c r="AL10" i="2"/>
  <c r="AL11" i="2"/>
  <c r="AL12" i="2"/>
  <c r="AL3" i="2"/>
  <c r="AK3" i="2"/>
  <c r="AK4" i="2"/>
  <c r="AK5" i="2"/>
  <c r="AK6" i="2"/>
  <c r="AK7" i="2"/>
  <c r="AK8" i="2"/>
  <c r="AK9" i="2"/>
  <c r="AK10" i="2"/>
  <c r="AK11" i="2"/>
  <c r="AK12" i="2"/>
  <c r="AC3" i="2"/>
  <c r="AC4" i="2"/>
  <c r="AC5" i="2"/>
  <c r="AC6" i="2"/>
  <c r="AC7" i="2"/>
  <c r="AC8" i="2"/>
  <c r="AC9" i="2"/>
  <c r="AC10" i="2"/>
  <c r="AC11" i="2"/>
  <c r="AC12" i="2"/>
  <c r="AA3" i="2"/>
  <c r="AA4" i="2"/>
  <c r="AA5" i="2"/>
  <c r="AA6" i="2"/>
  <c r="AA7" i="2"/>
  <c r="AA8" i="2"/>
  <c r="AA9" i="2"/>
  <c r="AA10" i="2"/>
  <c r="AA11" i="2"/>
  <c r="AA12" i="2"/>
  <c r="Y3" i="2"/>
  <c r="Y4" i="2"/>
  <c r="Y5" i="2"/>
  <c r="Y6" i="2"/>
  <c r="Y7" i="2"/>
  <c r="Y8" i="2"/>
  <c r="Y9" i="2"/>
  <c r="Y10" i="2"/>
  <c r="Y11" i="2"/>
  <c r="W3" i="2"/>
  <c r="W4" i="2"/>
  <c r="W5" i="2"/>
  <c r="W6" i="2"/>
  <c r="W7" i="2"/>
  <c r="W8" i="2"/>
  <c r="W9" i="2"/>
  <c r="W10" i="2"/>
  <c r="W11" i="2"/>
  <c r="Y12" i="2"/>
  <c r="W12" i="2"/>
  <c r="U3" i="2"/>
  <c r="U4" i="2"/>
  <c r="U5" i="2"/>
  <c r="U6" i="2"/>
  <c r="U7" i="2"/>
  <c r="U8" i="2"/>
  <c r="U9" i="2"/>
  <c r="U10" i="2"/>
  <c r="U11" i="2"/>
  <c r="U12" i="2"/>
  <c r="S3" i="2"/>
  <c r="S4" i="2"/>
  <c r="S5" i="2"/>
  <c r="S6" i="2"/>
  <c r="S7" i="2"/>
  <c r="S8" i="2"/>
  <c r="S9" i="2"/>
  <c r="S10" i="2"/>
  <c r="S11" i="2"/>
  <c r="S12" i="2"/>
  <c r="Q3" i="2"/>
  <c r="Q4" i="2"/>
  <c r="Q5" i="2"/>
  <c r="Q6" i="2"/>
  <c r="Q7" i="2"/>
  <c r="Q8" i="2"/>
  <c r="Q9" i="2"/>
  <c r="Q10" i="2"/>
  <c r="Q11" i="2"/>
  <c r="Q12" i="2"/>
  <c r="O3" i="2"/>
  <c r="O4" i="2"/>
  <c r="O5" i="2"/>
  <c r="O6" i="2"/>
  <c r="O7" i="2"/>
  <c r="O8" i="2"/>
  <c r="O9" i="2"/>
  <c r="O10" i="2"/>
  <c r="O11" i="2"/>
  <c r="O12" i="2"/>
  <c r="K12" i="2"/>
  <c r="F12" i="2"/>
  <c r="D12" i="2"/>
  <c r="K11" i="2"/>
  <c r="F11" i="2"/>
  <c r="D11" i="2"/>
  <c r="K10" i="2"/>
  <c r="F10" i="2"/>
  <c r="D10" i="2"/>
  <c r="K9" i="2"/>
  <c r="F9" i="2"/>
  <c r="D9" i="2"/>
  <c r="K8" i="2"/>
  <c r="F8" i="2"/>
  <c r="D8" i="2"/>
  <c r="K7" i="2"/>
  <c r="F7" i="2"/>
  <c r="D7" i="2"/>
  <c r="K6" i="2"/>
  <c r="F6" i="2"/>
  <c r="D6" i="2"/>
  <c r="K5" i="2"/>
  <c r="F5" i="2"/>
  <c r="D5" i="2"/>
  <c r="K4" i="2"/>
  <c r="F4" i="2"/>
  <c r="D4" i="2"/>
  <c r="K3" i="2"/>
  <c r="F3" i="2"/>
  <c r="D3" i="2"/>
  <c r="AU12" i="1"/>
  <c r="AK3" i="1"/>
  <c r="AK4" i="1"/>
  <c r="AR4" i="1" s="1"/>
  <c r="AK5" i="1"/>
  <c r="AK6" i="1"/>
  <c r="AR6" i="1" s="1"/>
  <c r="AK8" i="1"/>
  <c r="AK9" i="1"/>
  <c r="AK10" i="1"/>
  <c r="AK11" i="1"/>
  <c r="AK12" i="1"/>
  <c r="AS4" i="1"/>
  <c r="AS5" i="1"/>
  <c r="AS6" i="1"/>
  <c r="AS7" i="1"/>
  <c r="AS8" i="1"/>
  <c r="AS9" i="1"/>
  <c r="AS10" i="1"/>
  <c r="AS11" i="1"/>
  <c r="AS12" i="1"/>
  <c r="AS3" i="1"/>
  <c r="AR5" i="1"/>
  <c r="AR8" i="1"/>
  <c r="AR9" i="1"/>
  <c r="AR10" i="1"/>
  <c r="AR11" i="1"/>
  <c r="AR12" i="1"/>
  <c r="AR3" i="1"/>
  <c r="AQ4" i="1"/>
  <c r="AQ5" i="1"/>
  <c r="AQ6" i="1"/>
  <c r="AQ7" i="1"/>
  <c r="AQ8" i="1"/>
  <c r="AQ9" i="1"/>
  <c r="AQ10" i="1"/>
  <c r="AQ11" i="1"/>
  <c r="AQ12" i="1"/>
  <c r="AQ3" i="1"/>
  <c r="AP4" i="1"/>
  <c r="AP5" i="1"/>
  <c r="AP6" i="1"/>
  <c r="AP7" i="1"/>
  <c r="AP8" i="1"/>
  <c r="AP9" i="1"/>
  <c r="AP10" i="1"/>
  <c r="AP11" i="1"/>
  <c r="AP12" i="1"/>
  <c r="AP3" i="1"/>
  <c r="AO4" i="1"/>
  <c r="AO5" i="1"/>
  <c r="AO6" i="1"/>
  <c r="AO7" i="1"/>
  <c r="AO8" i="1"/>
  <c r="AO9" i="1"/>
  <c r="AO10" i="1"/>
  <c r="AO11" i="1"/>
  <c r="AO12" i="1"/>
  <c r="AO3" i="1"/>
  <c r="AN4" i="1"/>
  <c r="AN5" i="1"/>
  <c r="AN6" i="1"/>
  <c r="AN7" i="1"/>
  <c r="AN8" i="1"/>
  <c r="AN9" i="1"/>
  <c r="AN10" i="1"/>
  <c r="AN11" i="1"/>
  <c r="AN12" i="1"/>
  <c r="AN3" i="1"/>
  <c r="AM4" i="1"/>
  <c r="AM5" i="1"/>
  <c r="AM6" i="1"/>
  <c r="AM7" i="1"/>
  <c r="AM8" i="1"/>
  <c r="AM9" i="1"/>
  <c r="AM10" i="1"/>
  <c r="AM11" i="1"/>
  <c r="AM12" i="1"/>
  <c r="AM3" i="1"/>
  <c r="K4" i="1"/>
  <c r="K5" i="1"/>
  <c r="K6" i="1"/>
  <c r="K7" i="1"/>
  <c r="K8" i="1"/>
  <c r="K9" i="1"/>
  <c r="K10" i="1"/>
  <c r="K11" i="1"/>
  <c r="K12" i="1"/>
  <c r="K3" i="1"/>
  <c r="F4" i="1"/>
  <c r="F5" i="1"/>
  <c r="F6" i="1"/>
  <c r="F7" i="1"/>
  <c r="F8" i="1"/>
  <c r="F9" i="1"/>
  <c r="F10" i="1"/>
  <c r="F11" i="1"/>
  <c r="F12" i="1"/>
  <c r="F3" i="1"/>
  <c r="D4" i="1"/>
  <c r="D5" i="1"/>
  <c r="D6" i="1"/>
  <c r="D7" i="1"/>
  <c r="D8" i="1"/>
  <c r="D9" i="1"/>
  <c r="D10" i="1"/>
  <c r="D11" i="1"/>
  <c r="D12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Hannah May</author>
  </authors>
  <commentList>
    <comment ref="AP3" authorId="0" shapeId="0" xr:uid="{88598183-86D3-4665-A1E9-143444970BCE}">
      <text>
        <r>
          <rPr>
            <sz val="11"/>
            <color theme="1"/>
            <rFont val="Aptos Narrow"/>
            <family val="2"/>
            <scheme val="minor"/>
          </rPr>
          <t>Hannah May:
No OPEB liability because GASB 75 had not yet been implemented in Saratoga</t>
        </r>
      </text>
    </comment>
  </commentList>
</comments>
</file>

<file path=xl/sharedStrings.xml><?xml version="1.0" encoding="utf-8"?>
<sst xmlns="http://schemas.openxmlformats.org/spreadsheetml/2006/main" count="381" uniqueCount="123">
  <si>
    <t>Benchmarking</t>
  </si>
  <si>
    <t>Financial Health (General Fund)</t>
  </si>
  <si>
    <t>Revenue Diversification Index</t>
  </si>
  <si>
    <t>Expenditures</t>
  </si>
  <si>
    <t>Investments</t>
  </si>
  <si>
    <t>Year</t>
  </si>
  <si>
    <t>Population</t>
  </si>
  <si>
    <t>Revenue (General Fund)</t>
  </si>
  <si>
    <t>Revenue Per Capita</t>
  </si>
  <si>
    <t>Expenditure (General Fund)</t>
  </si>
  <si>
    <t>Expenditure Per Capita</t>
  </si>
  <si>
    <t>CIP Spending</t>
  </si>
  <si>
    <t>Assigned Fund Balance</t>
  </si>
  <si>
    <t>Commited</t>
  </si>
  <si>
    <t>Unassigned Fund Balance</t>
  </si>
  <si>
    <t>Reserve Ratio (General Fund)</t>
  </si>
  <si>
    <t>Property Tax</t>
  </si>
  <si>
    <t>% Property Tax</t>
  </si>
  <si>
    <t>Sales Tax and Use tax</t>
  </si>
  <si>
    <t>% Sales and Use Tax</t>
  </si>
  <si>
    <t>Transient Occupancy Tax</t>
  </si>
  <si>
    <t>% TOT</t>
  </si>
  <si>
    <t>Other taxes</t>
  </si>
  <si>
    <t>% Other Taxes</t>
  </si>
  <si>
    <t>Charges for services -- fees</t>
  </si>
  <si>
    <t>% Service Fees</t>
  </si>
  <si>
    <t>Charges for services -- licenses and permits</t>
  </si>
  <si>
    <t>% Charges for Licenses and permits</t>
  </si>
  <si>
    <t>Fines and forfeitures</t>
  </si>
  <si>
    <t>% Fines and forfeitures</t>
  </si>
  <si>
    <t>Investment income</t>
  </si>
  <si>
    <t>% Investment Income</t>
  </si>
  <si>
    <t xml:space="preserve">Intergovernmental </t>
  </si>
  <si>
    <t>% Intergovernmental</t>
  </si>
  <si>
    <t>Grants and subventions</t>
  </si>
  <si>
    <t>% Grants and subversions</t>
  </si>
  <si>
    <t>Other</t>
  </si>
  <si>
    <t>% Other</t>
  </si>
  <si>
    <t>Misc Pension Funding Ratio</t>
  </si>
  <si>
    <t>Safety Pension Funding Ratio</t>
  </si>
  <si>
    <t>Net Pension Liability</t>
  </si>
  <si>
    <t>Misc employer pension contributions</t>
  </si>
  <si>
    <t>Safety employer pension contributions</t>
  </si>
  <si>
    <t>Total employer pension contributions</t>
  </si>
  <si>
    <t>Net OPEB liability</t>
  </si>
  <si>
    <t>NPL/Revenue</t>
  </si>
  <si>
    <t>NPL/Expenditures</t>
  </si>
  <si>
    <t>NPL per Resident</t>
  </si>
  <si>
    <t>Safety Employer Contributions/Expenditures</t>
  </si>
  <si>
    <t>Misc Employer Contributions / Expenditures</t>
  </si>
  <si>
    <t>Total Employer Contributions/ Expenditures</t>
  </si>
  <si>
    <t>OPEB liability per capita</t>
  </si>
  <si>
    <t>Total Cash</t>
  </si>
  <si>
    <t>Total Investments</t>
  </si>
  <si>
    <t>Liquid Investments</t>
  </si>
  <si>
    <t>Managed Investments</t>
  </si>
  <si>
    <t xml:space="preserve">$-   </t>
  </si>
  <si>
    <t>Financial Health</t>
  </si>
  <si>
    <t>CIP Spending/ Capital Outlay</t>
  </si>
  <si>
    <t>Assigned</t>
  </si>
  <si>
    <t>Committed</t>
  </si>
  <si>
    <t>%</t>
  </si>
  <si>
    <t>Sales and use Tax</t>
  </si>
  <si>
    <t>Business License Tax</t>
  </si>
  <si>
    <t>Other Taxes</t>
  </si>
  <si>
    <t>Licenses and permits</t>
  </si>
  <si>
    <t>Interest</t>
  </si>
  <si>
    <t>Charges for services</t>
  </si>
  <si>
    <t>Franchise fees</t>
  </si>
  <si>
    <t>Intergovernmental</t>
  </si>
  <si>
    <t xml:space="preserve">Misc Pension Funding Ratio </t>
  </si>
  <si>
    <t>Employer Contributions/Expenditures</t>
  </si>
  <si>
    <t>Revenue per Capita</t>
  </si>
  <si>
    <t>Expenditure</t>
  </si>
  <si>
    <t>Expenditure per Capita</t>
  </si>
  <si>
    <t>CIP Spending per Capita</t>
  </si>
  <si>
    <t>Committed Fund Balance</t>
  </si>
  <si>
    <t>% Fines and Forfeitures</t>
  </si>
  <si>
    <t>Sales and Use Tax</t>
  </si>
  <si>
    <t>Other Tax</t>
  </si>
  <si>
    <t>% Other Tax</t>
  </si>
  <si>
    <t>Licenses, permits and fees</t>
  </si>
  <si>
    <t>% Licenses, permits and fees</t>
  </si>
  <si>
    <t>Funding from other govt agencies</t>
  </si>
  <si>
    <t>% Funding from other govt agencies</t>
  </si>
  <si>
    <t>% Charges for services</t>
  </si>
  <si>
    <t>Rentals and leases</t>
  </si>
  <si>
    <t>% Rentals and leases</t>
  </si>
  <si>
    <t>Cash</t>
  </si>
  <si>
    <t>Sales Tax</t>
  </si>
  <si>
    <t>% Sales Tax</t>
  </si>
  <si>
    <t>% other tax</t>
  </si>
  <si>
    <t>Licenses and Permits</t>
  </si>
  <si>
    <t>% Charges for Services</t>
  </si>
  <si>
    <t>Use of Property</t>
  </si>
  <si>
    <t>% Use of Property</t>
  </si>
  <si>
    <t>Fines and Forfeitures</t>
  </si>
  <si>
    <t>% Franchise Fees</t>
  </si>
  <si>
    <t>% Interest and rentals</t>
  </si>
  <si>
    <t>Safety Plan Pension Funding Ration</t>
  </si>
  <si>
    <t>Misc Plan Pension Funding Ratio</t>
  </si>
  <si>
    <t>Net pension liability</t>
  </si>
  <si>
    <t>Commited Fund Balance</t>
  </si>
  <si>
    <t>Special Assessments</t>
  </si>
  <si>
    <t xml:space="preserve">% </t>
  </si>
  <si>
    <t>Franchise, Hotel and other taxes</t>
  </si>
  <si>
    <t xml:space="preserve">Licenses, and Permits </t>
  </si>
  <si>
    <t>% Grants and donations</t>
  </si>
  <si>
    <t>Interest and rentals</t>
  </si>
  <si>
    <t>Misc Pension Funding Ratio -RSI</t>
  </si>
  <si>
    <t>Safety Pension Funding Ratio- RSI</t>
  </si>
  <si>
    <t>Miscellaneous Employer Contributions/Expenditures</t>
  </si>
  <si>
    <t>Utility Users Tax</t>
  </si>
  <si>
    <t>% Utility Users tax</t>
  </si>
  <si>
    <t>Grants and donations</t>
  </si>
  <si>
    <t>Capital outlay/CIP spending  is taken from Reconciliation of the Statement of Revenues, Expenditures, and changes in Fund Balances</t>
  </si>
  <si>
    <t>The reserve ratio is calculated only using unassigned reserve/general fund</t>
  </si>
  <si>
    <t>Saratoga</t>
  </si>
  <si>
    <t>Burlingame</t>
  </si>
  <si>
    <t>Campbell</t>
  </si>
  <si>
    <t>Los Gatos</t>
  </si>
  <si>
    <t>Morgan Hill</t>
  </si>
  <si>
    <t>Los Altos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</si>
</sst>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09E9E"/>
        <bgColor rgb="FF000000"/>
      </patternFill>
    </fill>
    <fill>
      <patternFill patternType="solid">
        <fgColor rgb="FFF09E9E"/>
        <bgColor indexed="64"/>
      </patternFill>
    </fill>
    <fill>
      <patternFill patternType="solid">
        <fgColor rgb="FFFFE6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3" fontId="3" fillId="0" borderId="0" xfId="0" applyNumberFormat="1" applyFont="1"/>
    <xf numFmtId="8" fontId="3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8" fontId="3" fillId="0" borderId="1" xfId="0" applyNumberFormat="1" applyFont="1" applyBorder="1"/>
    <xf numFmtId="0" fontId="2" fillId="3" borderId="2" xfId="0" applyFont="1" applyFill="1" applyBorder="1" applyAlignment="1">
      <alignment horizontal="center" vertical="center" wrapText="1"/>
    </xf>
    <xf numFmtId="10" fontId="0" fillId="0" borderId="2" xfId="2" applyNumberFormat="1" applyFont="1" applyBorder="1"/>
    <xf numFmtId="8" fontId="0" fillId="0" borderId="0" xfId="0" applyNumberFormat="1"/>
    <xf numFmtId="8" fontId="3" fillId="0" borderId="2" xfId="0" applyNumberFormat="1" applyFont="1" applyBorder="1"/>
    <xf numFmtId="10" fontId="3" fillId="0" borderId="0" xfId="0" applyNumberFormat="1" applyFont="1"/>
    <xf numFmtId="0" fontId="4" fillId="4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10" fontId="3" fillId="0" borderId="2" xfId="0" applyNumberFormat="1" applyFont="1" applyBorder="1"/>
    <xf numFmtId="0" fontId="4" fillId="5" borderId="0" xfId="0" applyFont="1" applyFill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44" fontId="0" fillId="0" borderId="0" xfId="1" applyFont="1"/>
    <xf numFmtId="0" fontId="2" fillId="7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wrapText="1"/>
    </xf>
    <xf numFmtId="0" fontId="4" fillId="14" borderId="2" xfId="0" applyFont="1" applyFill="1" applyBorder="1" applyAlignment="1">
      <alignment horizontal="center" wrapText="1"/>
    </xf>
    <xf numFmtId="0" fontId="2" fillId="15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wrapText="1"/>
    </xf>
    <xf numFmtId="0" fontId="4" fillId="17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3" fillId="0" borderId="2" xfId="2" applyNumberFormat="1" applyFont="1" applyBorder="1"/>
    <xf numFmtId="0" fontId="2" fillId="18" borderId="0" xfId="0" applyFont="1" applyFill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4" fillId="21" borderId="0" xfId="0" applyFont="1" applyFill="1" applyAlignment="1">
      <alignment horizontal="center" wrapText="1"/>
    </xf>
    <xf numFmtId="0" fontId="4" fillId="21" borderId="0" xfId="0" applyFont="1" applyFill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10" fontId="3" fillId="0" borderId="0" xfId="2" applyNumberFormat="1" applyFont="1" applyBorder="1"/>
    <xf numFmtId="0" fontId="2" fillId="22" borderId="0" xfId="0" applyFont="1" applyFill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4" fillId="2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44" fontId="3" fillId="0" borderId="0" xfId="1" applyFont="1" applyBorder="1"/>
    <xf numFmtId="44" fontId="3" fillId="0" borderId="1" xfId="1" applyFont="1" applyBorder="1"/>
    <xf numFmtId="0" fontId="2" fillId="20" borderId="0" xfId="0" applyFont="1" applyFill="1" applyAlignment="1">
      <alignment horizontal="center" vertical="center" wrapText="1"/>
    </xf>
    <xf numFmtId="10" fontId="0" fillId="0" borderId="0" xfId="2" applyNumberFormat="1" applyFont="1" applyBorder="1"/>
    <xf numFmtId="0" fontId="4" fillId="21" borderId="2" xfId="0" applyFont="1" applyFill="1" applyBorder="1" applyAlignment="1">
      <alignment horizontal="center" wrapText="1"/>
    </xf>
    <xf numFmtId="0" fontId="4" fillId="21" borderId="1" xfId="0" applyFont="1" applyFill="1" applyBorder="1" applyAlignment="1">
      <alignment horizontal="center" wrapText="1"/>
    </xf>
    <xf numFmtId="0" fontId="2" fillId="25" borderId="0" xfId="0" applyFont="1" applyFill="1" applyAlignment="1">
      <alignment horizontal="center" vertical="center" wrapText="1"/>
    </xf>
    <xf numFmtId="10" fontId="0" fillId="0" borderId="1" xfId="2" applyNumberFormat="1" applyFont="1" applyBorder="1"/>
    <xf numFmtId="44" fontId="3" fillId="0" borderId="0" xfId="1" applyFont="1" applyFill="1" applyBorder="1"/>
    <xf numFmtId="0" fontId="2" fillId="18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0" fontId="2" fillId="18" borderId="3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 vertical="center" wrapText="1"/>
    </xf>
    <xf numFmtId="8" fontId="3" fillId="0" borderId="3" xfId="0" applyNumberFormat="1" applyFont="1" applyBorder="1"/>
    <xf numFmtId="0" fontId="2" fillId="20" borderId="4" xfId="0" applyFont="1" applyFill="1" applyBorder="1" applyAlignment="1">
      <alignment horizontal="center" vertical="center" wrapText="1"/>
    </xf>
    <xf numFmtId="10" fontId="0" fillId="0" borderId="4" xfId="2" applyNumberFormat="1" applyFont="1" applyBorder="1"/>
    <xf numFmtId="0" fontId="2" fillId="13" borderId="0" xfId="0" applyFont="1" applyFill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wrapText="1"/>
    </xf>
    <xf numFmtId="10" fontId="3" fillId="0" borderId="3" xfId="0" applyNumberFormat="1" applyFont="1" applyBorder="1"/>
    <xf numFmtId="8" fontId="3" fillId="0" borderId="4" xfId="0" applyNumberFormat="1" applyFont="1" applyBorder="1"/>
    <xf numFmtId="0" fontId="4" fillId="17" borderId="3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vertical="center" wrapText="1"/>
    </xf>
    <xf numFmtId="0" fontId="4" fillId="17" borderId="2" xfId="0" applyFont="1" applyFill="1" applyBorder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wrapText="1"/>
    </xf>
    <xf numFmtId="0" fontId="4" fillId="10" borderId="4" xfId="0" applyFont="1" applyFill="1" applyBorder="1" applyAlignment="1">
      <alignment horizontal="center" wrapText="1"/>
    </xf>
    <xf numFmtId="0" fontId="4" fillId="26" borderId="0" xfId="0" applyFont="1" applyFill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0" fontId="4" fillId="17" borderId="4" xfId="0" applyFont="1" applyFill="1" applyBorder="1" applyAlignment="1">
      <alignment horizontal="center" wrapText="1"/>
    </xf>
    <xf numFmtId="10" fontId="0" fillId="0" borderId="0" xfId="0" applyNumberFormat="1"/>
    <xf numFmtId="164" fontId="0" fillId="0" borderId="0" xfId="1" applyNumberFormat="1" applyFont="1" applyBorder="1"/>
    <xf numFmtId="44" fontId="0" fillId="0" borderId="0" xfId="1" applyFont="1" applyBorder="1"/>
    <xf numFmtId="44" fontId="0" fillId="0" borderId="4" xfId="1" applyFont="1" applyBorder="1"/>
    <xf numFmtId="0" fontId="4" fillId="24" borderId="1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2" applyNumberFormat="1" applyFont="1" applyBorder="1"/>
    <xf numFmtId="165" fontId="0" fillId="0" borderId="0" xfId="0" applyNumberFormat="1"/>
    <xf numFmtId="10" fontId="0" fillId="0" borderId="1" xfId="0" applyNumberFormat="1" applyBorder="1"/>
    <xf numFmtId="0" fontId="2" fillId="22" borderId="0" xfId="0" applyFont="1" applyFill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4" fillId="23" borderId="0" xfId="0" applyFont="1" applyFill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0" xfId="0" applyFont="1" applyFill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2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E699"/>
      <color rgb="FFF0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Investment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graph!$E$5</c:f>
              <c:strCache>
                <c:ptCount val="1"/>
                <c:pt idx="0">
                  <c:v>Saratoga</c:v>
                </c:pt>
              </c:strCache>
            </c:strRef>
          </c:tx>
          <c:spPr>
            <a:ln w="285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graph!D6:D15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graph!$E$6:$E$15</c:f>
              <c:numCache>
                <c:formatCode>_([$$-409]* #,##0.00_);_([$$-409]* \(#,##0.00\);_([$$-409]* "-"??_);_(@_)</c:formatCode>
                <c:ptCount val="10"/>
                <c:pt idx="0">
                  <c:v>21682036</c:v>
                </c:pt>
                <c:pt idx="1">
                  <c:v>22285660</c:v>
                </c:pt>
                <c:pt idx="2">
                  <c:v>25561999</c:v>
                </c:pt>
                <c:pt idx="3">
                  <c:v>28325319</c:v>
                </c:pt>
                <c:pt idx="4">
                  <c:v>28799507</c:v>
                </c:pt>
                <c:pt idx="5">
                  <c:v>31244145</c:v>
                </c:pt>
                <c:pt idx="6">
                  <c:v>34555852</c:v>
                </c:pt>
                <c:pt idx="7">
                  <c:v>40048722</c:v>
                </c:pt>
                <c:pt idx="8">
                  <c:v>48172175</c:v>
                </c:pt>
                <c:pt idx="9">
                  <c:v>52202648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E-4573-8D54-A7EB56B78DD5}"/>
            </c:ext>
          </c:extLst>
        </c:ser>
        <c:ser>
          <c:idx val="1"/>
          <c:order val="1"/>
          <c:tx>
            <c:strRef>
              <c:f>graph!$F$5</c:f>
              <c:strCache>
                <c:ptCount val="1"/>
                <c:pt idx="0">
                  <c:v>Burlingame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graph!D6:D15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graph!$F$6:$F$15</c:f>
              <c:numCache>
                <c:formatCode>_("$"* #,##0.00_);_("$"* \(#,##0.00\);_("$"* "-"??_);_(@_)</c:formatCode>
                <c:ptCount val="10"/>
                <c:pt idx="0">
                  <c:v>125503064</c:v>
                </c:pt>
                <c:pt idx="1">
                  <c:v>146042353</c:v>
                </c:pt>
                <c:pt idx="2">
                  <c:v>164367573</c:v>
                </c:pt>
                <c:pt idx="3">
                  <c:v>188491267</c:v>
                </c:pt>
                <c:pt idx="4">
                  <c:v>208607971</c:v>
                </c:pt>
                <c:pt idx="5">
                  <c:v>197955968</c:v>
                </c:pt>
                <c:pt idx="6">
                  <c:v>196820680</c:v>
                </c:pt>
                <c:pt idx="7">
                  <c:v>226195835</c:v>
                </c:pt>
                <c:pt idx="8">
                  <c:v>255017259</c:v>
                </c:pt>
                <c:pt idx="9">
                  <c:v>273804510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E-4573-8D54-A7EB56B78DD5}"/>
            </c:ext>
          </c:extLst>
        </c:ser>
        <c:ser>
          <c:idx val="2"/>
          <c:order val="2"/>
          <c:tx>
            <c:strRef>
              <c:f>graph!$G$5</c:f>
              <c:strCache>
                <c:ptCount val="1"/>
                <c:pt idx="0">
                  <c:v>Campbell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graph!D6:D15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graph!$G$6:$G$15</c:f>
              <c:numCache>
                <c:formatCode>_([$$-409]* #,##0.00_);_([$$-409]* \(#,##0.00\);_([$$-409]* "-"??_);_(@_)</c:formatCode>
                <c:ptCount val="10"/>
                <c:pt idx="0">
                  <c:v>45638059</c:v>
                </c:pt>
                <c:pt idx="1">
                  <c:v>45114602</c:v>
                </c:pt>
                <c:pt idx="2">
                  <c:v>43850305</c:v>
                </c:pt>
                <c:pt idx="3">
                  <c:v>45050989</c:v>
                </c:pt>
                <c:pt idx="4">
                  <c:v>44049667</c:v>
                </c:pt>
                <c:pt idx="5">
                  <c:v>56967883</c:v>
                </c:pt>
                <c:pt idx="6">
                  <c:v>89494571</c:v>
                </c:pt>
                <c:pt idx="7">
                  <c:v>99989098</c:v>
                </c:pt>
                <c:pt idx="8">
                  <c:v>95314826</c:v>
                </c:pt>
                <c:pt idx="9">
                  <c:v>71480813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BE-4573-8D54-A7EB56B78DD5}"/>
            </c:ext>
          </c:extLst>
        </c:ser>
        <c:ser>
          <c:idx val="3"/>
          <c:order val="3"/>
          <c:tx>
            <c:strRef>
              <c:f>graph!$H$5</c:f>
              <c:strCache>
                <c:ptCount val="1"/>
                <c:pt idx="0">
                  <c:v>Los Gatos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graph!D6:D15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graph!$H$6:$H$15</c:f>
              <c:numCache>
                <c:formatCode>_([$$-409]* #,##0.00_);_([$$-409]* \(#,##0.00\);_([$$-409]* "-"??_);_(@_)</c:formatCode>
                <c:ptCount val="10"/>
                <c:pt idx="0">
                  <c:v>52493693</c:v>
                </c:pt>
                <c:pt idx="1">
                  <c:v>56869287</c:v>
                </c:pt>
                <c:pt idx="2">
                  <c:v>57165967</c:v>
                </c:pt>
                <c:pt idx="3">
                  <c:v>58742245</c:v>
                </c:pt>
                <c:pt idx="4">
                  <c:v>60129255</c:v>
                </c:pt>
                <c:pt idx="5">
                  <c:v>58133703</c:v>
                </c:pt>
                <c:pt idx="6">
                  <c:v>51943374</c:v>
                </c:pt>
                <c:pt idx="7">
                  <c:v>62610886</c:v>
                </c:pt>
                <c:pt idx="8">
                  <c:v>66330029</c:v>
                </c:pt>
                <c:pt idx="9">
                  <c:v>73091132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BE-4573-8D54-A7EB56B78DD5}"/>
            </c:ext>
          </c:extLst>
        </c:ser>
        <c:ser>
          <c:idx val="4"/>
          <c:order val="4"/>
          <c:tx>
            <c:strRef>
              <c:f>graph!$I$5</c:f>
              <c:strCache>
                <c:ptCount val="1"/>
                <c:pt idx="0">
                  <c:v>Morgan Hill</c:v>
                </c:pt>
              </c:strCache>
            </c:strRef>
          </c:tx>
          <c:spPr>
            <a:ln w="28575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graph!D6:D15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graph!$I$6:$I$15</c:f>
              <c:numCache>
                <c:formatCode>_([$$-409]* #,##0.00_);_([$$-409]* \(#,##0.00\);_([$$-409]* "-"??_);_(@_)</c:formatCode>
                <c:ptCount val="10"/>
                <c:pt idx="0">
                  <c:v>132953285</c:v>
                </c:pt>
                <c:pt idx="1">
                  <c:v>130694619</c:v>
                </c:pt>
                <c:pt idx="2">
                  <c:v>132954212</c:v>
                </c:pt>
                <c:pt idx="3">
                  <c:v>144382572</c:v>
                </c:pt>
                <c:pt idx="4">
                  <c:v>146978173</c:v>
                </c:pt>
                <c:pt idx="5">
                  <c:v>165400961</c:v>
                </c:pt>
                <c:pt idx="6">
                  <c:v>170732448</c:v>
                </c:pt>
                <c:pt idx="7">
                  <c:v>180525932</c:v>
                </c:pt>
                <c:pt idx="8">
                  <c:v>187413468</c:v>
                </c:pt>
                <c:pt idx="9">
                  <c:v>208026195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BE-4573-8D54-A7EB56B78DD5}"/>
            </c:ext>
          </c:extLst>
        </c:ser>
        <c:ser>
          <c:idx val="5"/>
          <c:order val="5"/>
          <c:tx>
            <c:strRef>
              <c:f>graph!$J$5</c:f>
              <c:strCache>
                <c:ptCount val="1"/>
                <c:pt idx="0">
                  <c:v>Los Altos</c:v>
                </c:pt>
              </c:strCache>
            </c:strRef>
          </c:tx>
          <c:spPr>
            <a:ln w="762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graph!D6:D15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graph!$J$6:$J$15</c:f>
              <c:numCache>
                <c:formatCode>_([$$-409]* #,##0.00_);_([$$-409]* \(#,##0.00\);_([$$-409]* "-"??_);_(@_)</c:formatCode>
                <c:ptCount val="10"/>
                <c:pt idx="0">
                  <c:v>67927697</c:v>
                </c:pt>
                <c:pt idx="1">
                  <c:v>71929369</c:v>
                </c:pt>
                <c:pt idx="2">
                  <c:v>75754871</c:v>
                </c:pt>
                <c:pt idx="3">
                  <c:v>85525291</c:v>
                </c:pt>
                <c:pt idx="4">
                  <c:v>74684152</c:v>
                </c:pt>
                <c:pt idx="5">
                  <c:v>58373587</c:v>
                </c:pt>
                <c:pt idx="6">
                  <c:v>57170156</c:v>
                </c:pt>
                <c:pt idx="7">
                  <c:v>68953728</c:v>
                </c:pt>
                <c:pt idx="8">
                  <c:v>76987691</c:v>
                </c:pt>
                <c:pt idx="9">
                  <c:v>101402600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BE-4573-8D54-A7EB56B78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612744"/>
        <c:axId val="1554614792"/>
      </c:lineChart>
      <c:catAx>
        <c:axId val="155461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614792"/>
        <c:crosses val="autoZero"/>
        <c:auto val="1"/>
        <c:lblAlgn val="ctr"/>
        <c:lblOffset val="100"/>
        <c:noMultiLvlLbl val="0"/>
      </c:catAx>
      <c:valAx>
        <c:axId val="1554614792"/>
        <c:scaling>
          <c:orientation val="minMax"/>
        </c:scaling>
        <c:delete val="0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61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20</xdr:row>
      <xdr:rowOff>114300</xdr:rowOff>
    </xdr:from>
    <xdr:to>
      <xdr:col>7</xdr:col>
      <xdr:colOff>666750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D6FA3-65E7-EF2E-5477-6324AEBA9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BE3E-4538-44F4-B4E9-EB9B639B0338}">
  <sheetPr>
    <tabColor rgb="FFFF0000"/>
  </sheetPr>
  <dimension ref="A1:AY26"/>
  <sheetViews>
    <sheetView topLeftCell="AS1" workbookViewId="0">
      <selection activeCell="AW3" sqref="AW3:AW12"/>
    </sheetView>
  </sheetViews>
  <sheetFormatPr defaultRowHeight="15" customHeight="1"/>
  <cols>
    <col min="2" max="2" width="10.140625" customWidth="1"/>
    <col min="3" max="3" width="16.28515625" customWidth="1"/>
    <col min="4" max="4" width="16.5703125" customWidth="1"/>
    <col min="5" max="5" width="19.140625" customWidth="1"/>
    <col min="6" max="6" width="19.5703125" customWidth="1"/>
    <col min="7" max="9" width="17.28515625" customWidth="1"/>
    <col min="10" max="10" width="18.140625" customWidth="1"/>
    <col min="11" max="11" width="14.42578125" customWidth="1"/>
    <col min="12" max="12" width="14.85546875" customWidth="1"/>
    <col min="14" max="14" width="16.5703125" customWidth="1"/>
    <col min="16" max="16" width="16.7109375" customWidth="1"/>
    <col min="18" max="18" width="17.5703125" customWidth="1"/>
    <col min="19" max="19" width="10.85546875" customWidth="1"/>
    <col min="20" max="20" width="16.85546875" customWidth="1"/>
    <col min="21" max="21" width="14.85546875" customWidth="1"/>
    <col min="22" max="22" width="18.28515625" customWidth="1"/>
    <col min="23" max="23" width="12" customWidth="1"/>
    <col min="24" max="24" width="16.28515625" customWidth="1"/>
    <col min="25" max="25" width="11.7109375" customWidth="1"/>
    <col min="26" max="26" width="17.140625" customWidth="1"/>
    <col min="27" max="27" width="11" customWidth="1"/>
    <col min="28" max="28" width="13" customWidth="1"/>
    <col min="29" max="29" width="13.140625" customWidth="1"/>
    <col min="30" max="30" width="14.140625" customWidth="1"/>
    <col min="31" max="31" width="12" customWidth="1"/>
    <col min="32" max="32" width="12.42578125" customWidth="1"/>
    <col min="33" max="33" width="14.140625" customWidth="1"/>
    <col min="34" max="34" width="13.85546875" customWidth="1"/>
    <col min="35" max="35" width="19.5703125" customWidth="1"/>
    <col min="36" max="36" width="20.7109375" customWidth="1"/>
    <col min="37" max="37" width="20.140625" customWidth="1"/>
    <col min="38" max="38" width="17.140625" customWidth="1"/>
    <col min="39" max="39" width="16.42578125" customWidth="1"/>
    <col min="40" max="40" width="17.140625" customWidth="1"/>
    <col min="41" max="41" width="13.85546875" customWidth="1"/>
    <col min="42" max="42" width="18.7109375" customWidth="1"/>
    <col min="43" max="44" width="17.85546875" customWidth="1"/>
    <col min="45" max="45" width="13.42578125" customWidth="1"/>
    <col min="46" max="46" width="15.140625" customWidth="1"/>
    <col min="47" max="47" width="16.7109375" customWidth="1"/>
    <col min="48" max="48" width="15" customWidth="1"/>
    <col min="49" max="49" width="16.7109375" customWidth="1"/>
    <col min="50" max="50" width="16.5703125" customWidth="1"/>
    <col min="51" max="51" width="19.28515625" customWidth="1"/>
  </cols>
  <sheetData>
    <row r="1" spans="1:51">
      <c r="C1" s="91" t="s">
        <v>0</v>
      </c>
      <c r="D1" s="90"/>
      <c r="E1" s="90"/>
      <c r="F1" s="90"/>
      <c r="G1" s="92"/>
      <c r="H1" s="90" t="s">
        <v>1</v>
      </c>
      <c r="I1" s="90"/>
      <c r="J1" s="90"/>
      <c r="K1" s="92"/>
      <c r="L1" s="93" t="s">
        <v>2</v>
      </c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1" t="s">
        <v>3</v>
      </c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2"/>
      <c r="AV1" s="90" t="s">
        <v>4</v>
      </c>
      <c r="AW1" s="90"/>
      <c r="AX1" s="90"/>
      <c r="AY1" s="90"/>
    </row>
    <row r="2" spans="1:51" s="86" customFormat="1" ht="43.5" customHeight="1">
      <c r="A2" s="37" t="s">
        <v>5</v>
      </c>
      <c r="B2" s="37" t="s">
        <v>6</v>
      </c>
      <c r="C2" s="38" t="s">
        <v>7</v>
      </c>
      <c r="D2" s="48" t="s">
        <v>8</v>
      </c>
      <c r="E2" s="48" t="s">
        <v>9</v>
      </c>
      <c r="F2" s="48" t="s">
        <v>10</v>
      </c>
      <c r="G2" s="39" t="s">
        <v>11</v>
      </c>
      <c r="H2" s="48" t="s">
        <v>12</v>
      </c>
      <c r="I2" s="48" t="s">
        <v>13</v>
      </c>
      <c r="J2" s="48" t="s">
        <v>14</v>
      </c>
      <c r="K2" s="39" t="s">
        <v>15</v>
      </c>
      <c r="L2" s="40" t="s">
        <v>16</v>
      </c>
      <c r="M2" s="40" t="s">
        <v>17</v>
      </c>
      <c r="N2" s="40" t="s">
        <v>18</v>
      </c>
      <c r="O2" s="40" t="s">
        <v>19</v>
      </c>
      <c r="P2" s="40" t="s">
        <v>20</v>
      </c>
      <c r="Q2" s="40" t="s">
        <v>21</v>
      </c>
      <c r="R2" s="40" t="s">
        <v>22</v>
      </c>
      <c r="S2" s="40" t="s">
        <v>23</v>
      </c>
      <c r="T2" s="40" t="s">
        <v>24</v>
      </c>
      <c r="U2" s="40" t="s">
        <v>25</v>
      </c>
      <c r="V2" s="40" t="s">
        <v>26</v>
      </c>
      <c r="W2" s="40" t="s">
        <v>27</v>
      </c>
      <c r="X2" s="40" t="s">
        <v>28</v>
      </c>
      <c r="Y2" s="40" t="s">
        <v>29</v>
      </c>
      <c r="Z2" s="40" t="s">
        <v>30</v>
      </c>
      <c r="AA2" s="40" t="s">
        <v>31</v>
      </c>
      <c r="AB2" s="40" t="s">
        <v>32</v>
      </c>
      <c r="AC2" s="40" t="s">
        <v>33</v>
      </c>
      <c r="AD2" s="40" t="s">
        <v>34</v>
      </c>
      <c r="AE2" s="40" t="s">
        <v>35</v>
      </c>
      <c r="AF2" s="40" t="s">
        <v>36</v>
      </c>
      <c r="AG2" s="40" t="s">
        <v>37</v>
      </c>
      <c r="AH2" s="84" t="s">
        <v>38</v>
      </c>
      <c r="AI2" s="40" t="s">
        <v>39</v>
      </c>
      <c r="AJ2" s="40" t="s">
        <v>40</v>
      </c>
      <c r="AK2" s="40" t="s">
        <v>41</v>
      </c>
      <c r="AL2" s="40" t="s">
        <v>42</v>
      </c>
      <c r="AM2" s="40" t="s">
        <v>43</v>
      </c>
      <c r="AN2" s="40" t="s">
        <v>44</v>
      </c>
      <c r="AO2" s="40" t="s">
        <v>45</v>
      </c>
      <c r="AP2" s="40" t="s">
        <v>46</v>
      </c>
      <c r="AQ2" s="40" t="s">
        <v>47</v>
      </c>
      <c r="AR2" s="40" t="s">
        <v>48</v>
      </c>
      <c r="AS2" s="40" t="s">
        <v>49</v>
      </c>
      <c r="AT2" s="40" t="s">
        <v>50</v>
      </c>
      <c r="AU2" s="85" t="s">
        <v>51</v>
      </c>
      <c r="AV2" s="40" t="s">
        <v>52</v>
      </c>
      <c r="AW2" s="40" t="s">
        <v>53</v>
      </c>
      <c r="AX2" s="40" t="s">
        <v>54</v>
      </c>
      <c r="AY2" s="40" t="s">
        <v>55</v>
      </c>
    </row>
    <row r="3" spans="1:51">
      <c r="A3">
        <v>2016</v>
      </c>
      <c r="B3" s="2">
        <v>29724</v>
      </c>
      <c r="C3" s="8">
        <v>66155143</v>
      </c>
      <c r="D3" s="3">
        <f>C3/B3</f>
        <v>2225.6473893150314</v>
      </c>
      <c r="E3" s="3">
        <v>47459375</v>
      </c>
      <c r="F3" s="3">
        <f>E3/B3</f>
        <v>1596.6685170232809</v>
      </c>
      <c r="G3" s="12">
        <v>3885158</v>
      </c>
      <c r="H3" s="42">
        <v>18637867</v>
      </c>
      <c r="I3" s="42">
        <v>0</v>
      </c>
      <c r="J3" s="3">
        <v>11003467</v>
      </c>
      <c r="K3" s="10">
        <f t="shared" ref="K3:K12" si="0">J3/E3</f>
        <v>0.23185022980180417</v>
      </c>
      <c r="L3" s="3">
        <v>17645289</v>
      </c>
      <c r="M3" s="13">
        <f>L3/C3</f>
        <v>0.26672588403293152</v>
      </c>
      <c r="N3" s="3">
        <v>12827673</v>
      </c>
      <c r="O3" s="13">
        <f>N3/C3</f>
        <v>0.19390288371079478</v>
      </c>
      <c r="P3" s="3">
        <v>26092240</v>
      </c>
      <c r="Q3" s="13">
        <f>P3/C3</f>
        <v>0.39440984958644865</v>
      </c>
      <c r="R3" s="3">
        <v>3153550</v>
      </c>
      <c r="S3" s="13">
        <f>R3/C3</f>
        <v>4.7669007381633204E-2</v>
      </c>
      <c r="T3" s="3">
        <v>4470276</v>
      </c>
      <c r="U3" s="13">
        <f>T3/C3</f>
        <v>6.7572614875913734E-2</v>
      </c>
      <c r="V3" s="3">
        <v>86154</v>
      </c>
      <c r="W3" s="13">
        <f>V3/C3</f>
        <v>1.3023023773072336E-3</v>
      </c>
      <c r="X3" s="3">
        <v>864393</v>
      </c>
      <c r="Y3" s="13">
        <f>X3/C3</f>
        <v>1.3066149671840329E-2</v>
      </c>
      <c r="Z3" s="3">
        <v>757753</v>
      </c>
      <c r="AA3" s="13">
        <f>Z3/C3</f>
        <v>1.145418127204411E-2</v>
      </c>
      <c r="AB3" s="1" t="s">
        <v>56</v>
      </c>
      <c r="AC3" s="13" t="e">
        <f>AB3/C3</f>
        <v>#VALUE!</v>
      </c>
      <c r="AD3" s="3">
        <v>22230</v>
      </c>
      <c r="AE3" s="13">
        <f>AD3/C3</f>
        <v>3.3602829639412917E-4</v>
      </c>
      <c r="AF3" s="3">
        <v>236185</v>
      </c>
      <c r="AG3" s="13">
        <f>AF3/C3</f>
        <v>3.5701683843386146E-3</v>
      </c>
      <c r="AH3" s="49">
        <v>0.77639999999999998</v>
      </c>
      <c r="AI3" s="80">
        <v>0.77969999999999995</v>
      </c>
      <c r="AJ3" s="3">
        <v>46987080</v>
      </c>
      <c r="AK3" s="3">
        <v>2936966</v>
      </c>
      <c r="AL3" s="3">
        <v>1686060</v>
      </c>
      <c r="AM3" s="3">
        <f t="shared" ref="AM3:AM11" si="1">AK3+AL3</f>
        <v>4623026</v>
      </c>
      <c r="AN3" s="3">
        <v>15974086</v>
      </c>
      <c r="AO3" s="13">
        <f>AJ3/C3</f>
        <v>0.7102558904603985</v>
      </c>
      <c r="AP3" s="13">
        <f>AJ3/E3</f>
        <v>0.99004843616250737</v>
      </c>
      <c r="AQ3" s="3">
        <f>AJ3/B3</f>
        <v>1580.779168348809</v>
      </c>
      <c r="AR3" s="13">
        <f>AL3/E3</f>
        <v>3.5526384407717125E-2</v>
      </c>
      <c r="AS3" s="13">
        <f>AK3/E3</f>
        <v>6.188379008362415E-2</v>
      </c>
      <c r="AT3" s="13">
        <f>AM3/E3</f>
        <v>9.7410174491341275E-2</v>
      </c>
      <c r="AU3" s="12">
        <f>AN3/B3</f>
        <v>537.41373973893155</v>
      </c>
      <c r="AV3" s="20">
        <v>25384973</v>
      </c>
      <c r="AW3" s="20">
        <v>125503064</v>
      </c>
      <c r="AX3" s="20">
        <f>714370+48179499</f>
        <v>48893869</v>
      </c>
      <c r="AY3" s="20">
        <f t="shared" ref="AY3:AY10" si="2">AW3-AX3</f>
        <v>76609195</v>
      </c>
    </row>
    <row r="4" spans="1:51">
      <c r="A4">
        <v>2017</v>
      </c>
      <c r="B4" s="2">
        <v>30148</v>
      </c>
      <c r="C4" s="8">
        <v>68042750</v>
      </c>
      <c r="D4" s="3">
        <f>C4/B4</f>
        <v>2256.9573437707309</v>
      </c>
      <c r="E4" s="3">
        <v>49707483</v>
      </c>
      <c r="F4" s="3">
        <f>E4/B4</f>
        <v>1648.7821082658884</v>
      </c>
      <c r="G4" s="12">
        <v>4863201</v>
      </c>
      <c r="H4" s="42">
        <v>19386210</v>
      </c>
      <c r="I4" s="42">
        <v>0</v>
      </c>
      <c r="J4" s="3">
        <v>13272400</v>
      </c>
      <c r="K4" s="10">
        <f t="shared" si="0"/>
        <v>0.26701009986765978</v>
      </c>
      <c r="L4" s="3">
        <v>18932794</v>
      </c>
      <c r="M4" s="13">
        <f t="shared" ref="M4:M12" si="3">L4/C4</f>
        <v>0.2782485128834446</v>
      </c>
      <c r="N4" s="3">
        <v>12089288</v>
      </c>
      <c r="O4" s="13">
        <f t="shared" ref="O4:O12" si="4">N4/C4</f>
        <v>0.17767194888507593</v>
      </c>
      <c r="P4" s="3">
        <v>26262930</v>
      </c>
      <c r="Q4" s="13">
        <v>0.38600000000000001</v>
      </c>
      <c r="R4" s="3">
        <v>3024388</v>
      </c>
      <c r="S4" s="13">
        <f t="shared" ref="S4:S12" si="5">R4/C4</f>
        <v>4.4448350485540342E-2</v>
      </c>
      <c r="T4" s="3">
        <v>6023354</v>
      </c>
      <c r="U4" s="13">
        <f t="shared" ref="U4:U12" si="6">T4/C4</f>
        <v>8.8523082914785195E-2</v>
      </c>
      <c r="V4" s="3">
        <v>88069</v>
      </c>
      <c r="W4" s="13">
        <f t="shared" ref="W4:W12" si="7">V4/C4</f>
        <v>1.2943186452634558E-3</v>
      </c>
      <c r="X4" s="3">
        <v>898184</v>
      </c>
      <c r="Y4" s="13">
        <f t="shared" ref="Y4:Y12" si="8">X4/C4</f>
        <v>1.320028952386551E-2</v>
      </c>
      <c r="Z4" s="3">
        <v>184900</v>
      </c>
      <c r="AA4" s="13">
        <f t="shared" ref="AA4:AA12" si="9">Z4/C4</f>
        <v>2.7174092757861787E-3</v>
      </c>
      <c r="AB4" s="1" t="s">
        <v>56</v>
      </c>
      <c r="AC4" s="13" t="e">
        <f t="shared" ref="AC4:AC12" si="10">AB4/C4</f>
        <v>#VALUE!</v>
      </c>
      <c r="AD4" s="3">
        <v>281915</v>
      </c>
      <c r="AE4" s="13">
        <f t="shared" ref="AE4:AE12" si="11">AD4/C4</f>
        <v>4.1432040886060601E-3</v>
      </c>
      <c r="AF4" s="3">
        <v>256928</v>
      </c>
      <c r="AG4" s="13">
        <f t="shared" ref="AG4:AG12" si="12">AF4/C4</f>
        <v>3.7759790719804828E-3</v>
      </c>
      <c r="AH4" s="49">
        <v>0.73970000000000002</v>
      </c>
      <c r="AI4" s="80">
        <v>0.72460000000000002</v>
      </c>
      <c r="AJ4" s="3">
        <v>57693507</v>
      </c>
      <c r="AK4" s="3">
        <v>3362448</v>
      </c>
      <c r="AL4" s="3">
        <v>1923807</v>
      </c>
      <c r="AM4" s="3">
        <f t="shared" si="1"/>
        <v>5286255</v>
      </c>
      <c r="AN4" s="3">
        <v>15925129</v>
      </c>
      <c r="AO4" s="13">
        <f>AJ4/C4</f>
        <v>0.84790087114350909</v>
      </c>
      <c r="AP4" s="13">
        <f>AJ4/E4</f>
        <v>1.1606603979525578</v>
      </c>
      <c r="AQ4" s="3">
        <f>AJ4/B4</f>
        <v>1913.676097916943</v>
      </c>
      <c r="AR4" s="13">
        <f>AL4/E4</f>
        <v>3.8702563153318388E-2</v>
      </c>
      <c r="AS4" s="13">
        <f>AK4/E4</f>
        <v>6.7644704520645318E-2</v>
      </c>
      <c r="AT4" s="13">
        <f>AM4/E4</f>
        <v>0.1063472676739637</v>
      </c>
      <c r="AU4" s="12">
        <f>AN4/B4</f>
        <v>528.23169032771659</v>
      </c>
      <c r="AV4" s="20">
        <v>26629031</v>
      </c>
      <c r="AW4" s="20">
        <v>146042353</v>
      </c>
      <c r="AX4" s="20">
        <v>53418868</v>
      </c>
      <c r="AY4" s="20">
        <f t="shared" si="2"/>
        <v>92623485</v>
      </c>
    </row>
    <row r="5" spans="1:51">
      <c r="A5">
        <v>2018</v>
      </c>
      <c r="B5" s="2">
        <v>30294</v>
      </c>
      <c r="C5" s="8">
        <v>71722983</v>
      </c>
      <c r="D5" s="3">
        <f>C5/B5</f>
        <v>2367.5639730639732</v>
      </c>
      <c r="E5" s="3">
        <v>53637258</v>
      </c>
      <c r="F5" s="3">
        <f>E5/B5</f>
        <v>1770.5571400277283</v>
      </c>
      <c r="G5" s="12">
        <v>8080474</v>
      </c>
      <c r="H5" s="42">
        <v>19929904</v>
      </c>
      <c r="I5" s="42">
        <v>0</v>
      </c>
      <c r="J5" s="3">
        <v>12045699</v>
      </c>
      <c r="K5" s="10">
        <f t="shared" si="0"/>
        <v>0.22457708408584198</v>
      </c>
      <c r="L5" s="3">
        <v>20334818</v>
      </c>
      <c r="M5" s="13">
        <f t="shared" si="3"/>
        <v>0.28351885475817423</v>
      </c>
      <c r="N5" s="3">
        <v>12819794</v>
      </c>
      <c r="O5" s="13">
        <f t="shared" si="4"/>
        <v>0.17874039064995387</v>
      </c>
      <c r="P5" s="3">
        <v>27935991</v>
      </c>
      <c r="Q5" s="13">
        <v>0.38950000000000001</v>
      </c>
      <c r="R5" s="3">
        <v>3216203</v>
      </c>
      <c r="S5" s="13">
        <f t="shared" si="5"/>
        <v>4.484201389114003E-2</v>
      </c>
      <c r="T5" s="3">
        <v>5515803</v>
      </c>
      <c r="U5" s="13">
        <f t="shared" si="6"/>
        <v>7.690426093962098E-2</v>
      </c>
      <c r="V5" s="3">
        <v>82622</v>
      </c>
      <c r="W5" s="13">
        <f t="shared" si="7"/>
        <v>1.1519598954772977E-3</v>
      </c>
      <c r="X5" s="3">
        <v>977121</v>
      </c>
      <c r="Y5" s="13">
        <f t="shared" si="8"/>
        <v>1.3623541006374484E-2</v>
      </c>
      <c r="Z5" s="3">
        <v>332714</v>
      </c>
      <c r="AA5" s="13">
        <f t="shared" si="9"/>
        <v>4.6388756585877084E-3</v>
      </c>
      <c r="AB5" s="1" t="s">
        <v>56</v>
      </c>
      <c r="AC5" s="13" t="e">
        <f t="shared" si="10"/>
        <v>#VALUE!</v>
      </c>
      <c r="AD5" s="3">
        <v>284839</v>
      </c>
      <c r="AE5" s="13">
        <f t="shared" si="11"/>
        <v>3.9713769294843744E-3</v>
      </c>
      <c r="AF5" s="3">
        <v>223078</v>
      </c>
      <c r="AG5" s="13">
        <f t="shared" si="12"/>
        <v>3.1102721982436228E-3</v>
      </c>
      <c r="AH5" s="49">
        <v>0.72870000000000001</v>
      </c>
      <c r="AI5" s="80">
        <v>0.70979999999999999</v>
      </c>
      <c r="AJ5" s="3">
        <v>65912338</v>
      </c>
      <c r="AK5" s="3">
        <v>3612106</v>
      </c>
      <c r="AL5" s="3">
        <v>2106261</v>
      </c>
      <c r="AM5" s="3">
        <f t="shared" si="1"/>
        <v>5718367</v>
      </c>
      <c r="AN5" s="3">
        <v>38912484</v>
      </c>
      <c r="AO5" s="13">
        <f>AJ5/C5</f>
        <v>0.9189848949812921</v>
      </c>
      <c r="AP5" s="13">
        <f>AJ5/E5</f>
        <v>1.2288536076918772</v>
      </c>
      <c r="AQ5" s="3">
        <f>AJ5/B5</f>
        <v>2175.755529147686</v>
      </c>
      <c r="AR5" s="13">
        <f>AL5/E5</f>
        <v>3.9268618093788461E-2</v>
      </c>
      <c r="AS5" s="13">
        <f>AK5/E5</f>
        <v>6.7343226232780204E-2</v>
      </c>
      <c r="AT5" s="13">
        <f>AM5/E5</f>
        <v>0.10661184432656867</v>
      </c>
      <c r="AU5" s="12">
        <f>AN5/B5</f>
        <v>1284.4947514359278</v>
      </c>
      <c r="AV5" s="20">
        <v>26862290</v>
      </c>
      <c r="AW5" s="20">
        <v>164367573</v>
      </c>
      <c r="AX5" s="20">
        <f>23149118+33936815</f>
        <v>57085933</v>
      </c>
      <c r="AY5" s="20">
        <f t="shared" si="2"/>
        <v>107281640</v>
      </c>
    </row>
    <row r="6" spans="1:51">
      <c r="A6" s="1">
        <v>2019</v>
      </c>
      <c r="B6" s="2">
        <v>30317</v>
      </c>
      <c r="C6" s="8">
        <v>84537342</v>
      </c>
      <c r="D6" s="3">
        <f>C6/B6</f>
        <v>2788.4468120196589</v>
      </c>
      <c r="E6" s="3">
        <v>55763099</v>
      </c>
      <c r="F6" s="3">
        <f>E6/B6</f>
        <v>1839.3343338720849</v>
      </c>
      <c r="G6" s="12">
        <v>14429426</v>
      </c>
      <c r="H6" s="42">
        <v>21581688</v>
      </c>
      <c r="I6" s="42">
        <v>0</v>
      </c>
      <c r="J6" s="3">
        <v>20102000</v>
      </c>
      <c r="K6" s="10">
        <f t="shared" si="0"/>
        <v>0.36048929059699497</v>
      </c>
      <c r="L6" s="3">
        <v>21955937</v>
      </c>
      <c r="M6" s="13">
        <f t="shared" si="3"/>
        <v>0.25971879977016549</v>
      </c>
      <c r="N6" s="3">
        <v>17819970</v>
      </c>
      <c r="O6" s="13">
        <f t="shared" si="4"/>
        <v>0.21079406542022577</v>
      </c>
      <c r="P6" s="3">
        <v>29384461</v>
      </c>
      <c r="Q6" s="13">
        <v>0.34760000000000002</v>
      </c>
      <c r="R6" s="3">
        <v>3233401</v>
      </c>
      <c r="S6" s="13">
        <f t="shared" si="5"/>
        <v>3.8248198056664712E-2</v>
      </c>
      <c r="T6" s="3">
        <v>6282171</v>
      </c>
      <c r="U6" s="13">
        <f t="shared" si="6"/>
        <v>7.4312379019439712E-2</v>
      </c>
      <c r="V6" s="3">
        <v>84610</v>
      </c>
      <c r="W6" s="13">
        <f t="shared" si="7"/>
        <v>1.000859478170014E-3</v>
      </c>
      <c r="X6" s="3">
        <v>1209074</v>
      </c>
      <c r="Y6" s="13">
        <f t="shared" si="8"/>
        <v>1.4302247638682561E-2</v>
      </c>
      <c r="Z6" s="3">
        <v>4071913</v>
      </c>
      <c r="AA6" s="13">
        <f t="shared" si="9"/>
        <v>4.8167033687905633E-2</v>
      </c>
      <c r="AB6" s="1" t="s">
        <v>56</v>
      </c>
      <c r="AC6" s="13" t="e">
        <f t="shared" si="10"/>
        <v>#VALUE!</v>
      </c>
      <c r="AD6" s="3">
        <v>196576</v>
      </c>
      <c r="AE6" s="13">
        <f t="shared" si="11"/>
        <v>2.3253155984014734E-3</v>
      </c>
      <c r="AF6" s="3">
        <v>299299</v>
      </c>
      <c r="AG6" s="13">
        <f t="shared" si="12"/>
        <v>3.5404354208344994E-3</v>
      </c>
      <c r="AH6" s="49">
        <v>0.74339999999999995</v>
      </c>
      <c r="AI6" s="80">
        <v>0.7127</v>
      </c>
      <c r="AJ6" s="3">
        <v>65463970</v>
      </c>
      <c r="AK6" s="3">
        <v>4093017</v>
      </c>
      <c r="AL6" s="3">
        <v>2369301</v>
      </c>
      <c r="AM6" s="3">
        <f t="shared" si="1"/>
        <v>6462318</v>
      </c>
      <c r="AN6" s="3">
        <v>37833135</v>
      </c>
      <c r="AO6" s="13">
        <f>AJ6/C6</f>
        <v>0.77437932694879386</v>
      </c>
      <c r="AP6" s="13">
        <f>AJ6/E6</f>
        <v>1.1739657797713143</v>
      </c>
      <c r="AQ6" s="3">
        <f>AJ6/B6</f>
        <v>2159.3155655242931</v>
      </c>
      <c r="AR6" s="13">
        <f>AL6/E6</f>
        <v>4.2488689518493224E-2</v>
      </c>
      <c r="AS6" s="13">
        <f>AK6/E6</f>
        <v>7.3400099230496493E-2</v>
      </c>
      <c r="AT6" s="13">
        <f>AM6/E6</f>
        <v>0.11588878874898972</v>
      </c>
      <c r="AU6" s="12">
        <f>AN6/B6</f>
        <v>1247.9181647260614</v>
      </c>
      <c r="AV6" s="20">
        <v>28372299</v>
      </c>
      <c r="AW6" s="20">
        <v>188491267</v>
      </c>
      <c r="AX6" s="20">
        <f>40898154+29831962</f>
        <v>70730116</v>
      </c>
      <c r="AY6" s="20">
        <f t="shared" si="2"/>
        <v>117761151</v>
      </c>
    </row>
    <row r="7" spans="1:51">
      <c r="A7" s="1">
        <v>2020</v>
      </c>
      <c r="B7" s="2">
        <v>30118</v>
      </c>
      <c r="C7" s="8">
        <v>72157859</v>
      </c>
      <c r="D7" s="3">
        <f>C7/B7</f>
        <v>2395.8383358788765</v>
      </c>
      <c r="E7" s="3">
        <v>58205465</v>
      </c>
      <c r="F7" s="3">
        <f>E7/B7</f>
        <v>1932.5806826482501</v>
      </c>
      <c r="G7" s="12">
        <v>14294873</v>
      </c>
      <c r="H7" s="42">
        <v>21728489</v>
      </c>
      <c r="I7" s="42">
        <v>0</v>
      </c>
      <c r="J7" s="3">
        <v>12267735</v>
      </c>
      <c r="K7" s="10">
        <f t="shared" si="0"/>
        <v>0.21076603373927175</v>
      </c>
      <c r="L7" s="3">
        <v>23304404</v>
      </c>
      <c r="M7" s="13">
        <f t="shared" si="3"/>
        <v>0.32296418329152476</v>
      </c>
      <c r="N7" s="3">
        <v>14803366</v>
      </c>
      <c r="O7" s="13">
        <f t="shared" si="4"/>
        <v>0.20515251152338099</v>
      </c>
      <c r="P7" s="3">
        <v>20416543</v>
      </c>
      <c r="Q7" s="13">
        <v>0.28289999999999998</v>
      </c>
      <c r="R7" s="3">
        <v>3133927</v>
      </c>
      <c r="S7" s="13">
        <f t="shared" si="5"/>
        <v>4.3431540838815633E-2</v>
      </c>
      <c r="T7" s="3">
        <v>5471236</v>
      </c>
      <c r="U7" s="13">
        <f t="shared" si="6"/>
        <v>7.5823147690676357E-2</v>
      </c>
      <c r="V7" s="3">
        <v>98905</v>
      </c>
      <c r="W7" s="13">
        <f t="shared" si="7"/>
        <v>1.3706753688465174E-3</v>
      </c>
      <c r="X7" s="3">
        <v>793281</v>
      </c>
      <c r="Y7" s="13">
        <f t="shared" si="8"/>
        <v>1.0993688158070211E-2</v>
      </c>
      <c r="Z7" s="3">
        <v>3775603</v>
      </c>
      <c r="AA7" s="13">
        <f t="shared" si="9"/>
        <v>5.2324210450867173E-2</v>
      </c>
      <c r="AB7" s="1" t="s">
        <v>56</v>
      </c>
      <c r="AC7" s="13" t="e">
        <f t="shared" si="10"/>
        <v>#VALUE!</v>
      </c>
      <c r="AD7" s="3">
        <v>177564</v>
      </c>
      <c r="AE7" s="13">
        <f t="shared" si="11"/>
        <v>2.4607714594192713E-3</v>
      </c>
      <c r="AF7" s="3">
        <v>183030</v>
      </c>
      <c r="AG7" s="13">
        <f t="shared" si="12"/>
        <v>2.536522043981377E-3</v>
      </c>
      <c r="AH7" s="49">
        <v>0.74099999999999999</v>
      </c>
      <c r="AI7" s="80">
        <v>0.70030000000000003</v>
      </c>
      <c r="AJ7" s="3">
        <v>69623079</v>
      </c>
      <c r="AK7" s="3">
        <v>4673324</v>
      </c>
      <c r="AL7" s="3">
        <v>2767532</v>
      </c>
      <c r="AM7" s="3">
        <f t="shared" si="1"/>
        <v>7440856</v>
      </c>
      <c r="AN7" s="3">
        <v>27044503</v>
      </c>
      <c r="AO7" s="13">
        <f>AJ7/C7</f>
        <v>0.96487174044340751</v>
      </c>
      <c r="AP7" s="13">
        <f>AJ7/E7</f>
        <v>1.1961605151681203</v>
      </c>
      <c r="AQ7" s="3">
        <f>AJ7/B7</f>
        <v>2311.6767049604887</v>
      </c>
      <c r="AR7" s="13">
        <f>AL7/E7</f>
        <v>4.7547631480995813E-2</v>
      </c>
      <c r="AS7" s="13">
        <f>AK7/E7</f>
        <v>8.0290123960009591E-2</v>
      </c>
      <c r="AT7" s="13">
        <f>AM7/E7</f>
        <v>0.12783775544100542</v>
      </c>
      <c r="AU7" s="12">
        <f>AN7/B7</f>
        <v>897.95149080284216</v>
      </c>
      <c r="AV7" s="20">
        <v>65661377</v>
      </c>
      <c r="AW7" s="20">
        <v>208607971</v>
      </c>
      <c r="AX7" s="20">
        <f>36548943+47780884</f>
        <v>84329827</v>
      </c>
      <c r="AY7" s="20">
        <f t="shared" si="2"/>
        <v>124278144</v>
      </c>
    </row>
    <row r="8" spans="1:51">
      <c r="A8" s="1">
        <v>2021</v>
      </c>
      <c r="B8" s="2">
        <v>29746</v>
      </c>
      <c r="C8" s="8">
        <v>62122067</v>
      </c>
      <c r="D8" s="3">
        <f>C8/B8</f>
        <v>2088.4175015128085</v>
      </c>
      <c r="E8" s="3">
        <v>58443624</v>
      </c>
      <c r="F8" s="3">
        <f>E8/B8</f>
        <v>1964.7557318631077</v>
      </c>
      <c r="G8" s="12">
        <v>39514150</v>
      </c>
      <c r="H8" s="42">
        <v>17429829</v>
      </c>
      <c r="I8" s="42">
        <v>0</v>
      </c>
      <c r="J8" s="3">
        <v>12037556</v>
      </c>
      <c r="K8" s="10">
        <f t="shared" si="0"/>
        <v>0.20596867846525055</v>
      </c>
      <c r="L8" s="3">
        <v>24223779</v>
      </c>
      <c r="M8" s="13">
        <f t="shared" si="3"/>
        <v>0.38993839338926051</v>
      </c>
      <c r="N8" s="3">
        <v>15665703</v>
      </c>
      <c r="O8" s="13">
        <f t="shared" si="4"/>
        <v>0.25217613895558239</v>
      </c>
      <c r="P8" s="3">
        <v>5738588</v>
      </c>
      <c r="Q8" s="13">
        <v>9.2399999999999996E-2</v>
      </c>
      <c r="R8" s="3">
        <v>2957503</v>
      </c>
      <c r="S8" s="13">
        <f t="shared" si="5"/>
        <v>4.7607929723265649E-2</v>
      </c>
      <c r="T8" s="3">
        <v>5489921</v>
      </c>
      <c r="U8" s="13">
        <f t="shared" si="6"/>
        <v>8.8373121905296545E-2</v>
      </c>
      <c r="V8" s="3">
        <v>85614</v>
      </c>
      <c r="W8" s="13">
        <f t="shared" si="7"/>
        <v>1.3781576199001879E-3</v>
      </c>
      <c r="X8" s="3">
        <v>700774</v>
      </c>
      <c r="Y8" s="13">
        <f t="shared" si="8"/>
        <v>1.1280596957599623E-2</v>
      </c>
      <c r="Z8" s="3">
        <v>2765323</v>
      </c>
      <c r="AA8" s="13">
        <f t="shared" si="9"/>
        <v>4.45143430272531E-2</v>
      </c>
      <c r="AB8" s="3">
        <v>22090</v>
      </c>
      <c r="AC8" s="13">
        <f t="shared" si="10"/>
        <v>3.5559022850929929E-4</v>
      </c>
      <c r="AD8" s="3">
        <v>4240733</v>
      </c>
      <c r="AE8" s="13">
        <f t="shared" si="11"/>
        <v>6.8264518629104862E-2</v>
      </c>
      <c r="AF8" s="3">
        <v>232039</v>
      </c>
      <c r="AG8" s="13">
        <f t="shared" si="12"/>
        <v>3.7352105492561927E-3</v>
      </c>
      <c r="AH8" s="49">
        <v>0.72670000000000001</v>
      </c>
      <c r="AI8" s="80">
        <v>0.6865</v>
      </c>
      <c r="AJ8" s="3">
        <v>76288480</v>
      </c>
      <c r="AK8" s="3">
        <v>5216872</v>
      </c>
      <c r="AL8" s="3">
        <v>3060060</v>
      </c>
      <c r="AM8" s="3">
        <f t="shared" si="1"/>
        <v>8276932</v>
      </c>
      <c r="AN8" s="3">
        <v>23123952</v>
      </c>
      <c r="AO8" s="13">
        <f>AJ8/C8</f>
        <v>1.228041558887601</v>
      </c>
      <c r="AP8" s="13">
        <f>AJ8/E8</f>
        <v>1.305334522034431</v>
      </c>
      <c r="AQ8" s="3">
        <f>AJ8/B8</f>
        <v>2564.6634841659384</v>
      </c>
      <c r="AR8" s="13">
        <f>AL8/E8</f>
        <v>5.2359176083947155E-2</v>
      </c>
      <c r="AS8" s="13">
        <f>AK8/E8</f>
        <v>8.9263321521608582E-2</v>
      </c>
      <c r="AT8" s="13">
        <f>AM8/E8</f>
        <v>0.14162249760555573</v>
      </c>
      <c r="AU8" s="12">
        <f>AN8/B8</f>
        <v>777.38021918913466</v>
      </c>
      <c r="AV8" s="20">
        <v>67572505</v>
      </c>
      <c r="AW8" s="20">
        <v>197955968</v>
      </c>
      <c r="AX8" s="20">
        <f>589425+73004430</f>
        <v>73593855</v>
      </c>
      <c r="AY8" s="20">
        <f t="shared" si="2"/>
        <v>124362113</v>
      </c>
    </row>
    <row r="9" spans="1:51">
      <c r="A9" s="1">
        <v>2022</v>
      </c>
      <c r="B9" s="2">
        <v>30283</v>
      </c>
      <c r="C9" s="8">
        <v>69994539</v>
      </c>
      <c r="D9" s="3">
        <f>C9/B9</f>
        <v>2311.3475877555065</v>
      </c>
      <c r="E9" s="3">
        <v>62719502</v>
      </c>
      <c r="F9" s="3">
        <f>E9/B9</f>
        <v>2071.112571409702</v>
      </c>
      <c r="G9" s="12">
        <v>30577503</v>
      </c>
      <c r="H9" s="42">
        <v>18947649</v>
      </c>
      <c r="I9" s="42">
        <v>0</v>
      </c>
      <c r="J9" s="3">
        <v>13084696</v>
      </c>
      <c r="K9" s="10">
        <f t="shared" si="0"/>
        <v>0.20862244728920201</v>
      </c>
      <c r="L9" s="3">
        <v>27722881</v>
      </c>
      <c r="M9" s="13">
        <f t="shared" si="3"/>
        <v>0.39607205642143023</v>
      </c>
      <c r="N9" s="3">
        <v>17577474</v>
      </c>
      <c r="O9" s="13">
        <f t="shared" si="4"/>
        <v>0.25112636287239493</v>
      </c>
      <c r="P9" s="3">
        <v>12378959</v>
      </c>
      <c r="Q9" s="13">
        <v>0.1769</v>
      </c>
      <c r="R9" s="3">
        <v>3511113</v>
      </c>
      <c r="S9" s="13">
        <f t="shared" si="5"/>
        <v>5.0162670547769447E-2</v>
      </c>
      <c r="T9" s="3">
        <v>8376296</v>
      </c>
      <c r="U9" s="13">
        <f t="shared" si="6"/>
        <v>0.11967070745333433</v>
      </c>
      <c r="V9" s="3">
        <v>88298</v>
      </c>
      <c r="W9" s="13">
        <f t="shared" si="7"/>
        <v>1.2614984148977681E-3</v>
      </c>
      <c r="X9" s="3">
        <v>875732</v>
      </c>
      <c r="Y9" s="13">
        <f t="shared" si="8"/>
        <v>1.2511433213382547E-2</v>
      </c>
      <c r="Z9" s="3">
        <v>-4731635</v>
      </c>
      <c r="AA9" s="13">
        <f t="shared" si="9"/>
        <v>-6.7600059484640651E-2</v>
      </c>
      <c r="AB9" s="3">
        <v>34364</v>
      </c>
      <c r="AC9" s="13">
        <f t="shared" si="10"/>
        <v>4.9095258702968236E-4</v>
      </c>
      <c r="AD9" s="3">
        <v>3868622</v>
      </c>
      <c r="AE9" s="13">
        <f t="shared" si="11"/>
        <v>5.5270340447559775E-2</v>
      </c>
      <c r="AF9" s="3">
        <v>292435</v>
      </c>
      <c r="AG9" s="13">
        <f t="shared" si="12"/>
        <v>4.1779687983944007E-3</v>
      </c>
      <c r="AH9" s="49">
        <v>0.84470000000000001</v>
      </c>
      <c r="AI9" s="80">
        <v>0.79449999999999998</v>
      </c>
      <c r="AJ9" s="3">
        <v>47864178</v>
      </c>
      <c r="AK9" s="3">
        <v>5667942</v>
      </c>
      <c r="AL9" s="3">
        <v>3339704</v>
      </c>
      <c r="AM9" s="3">
        <f t="shared" si="1"/>
        <v>9007646</v>
      </c>
      <c r="AN9" s="3">
        <v>14183685</v>
      </c>
      <c r="AO9" s="13">
        <f>AJ9/C9</f>
        <v>0.68382731972847199</v>
      </c>
      <c r="AP9" s="13">
        <f>AJ9/E9</f>
        <v>0.7631466525356021</v>
      </c>
      <c r="AQ9" s="3">
        <f>AJ9/B9</f>
        <v>1580.562625895717</v>
      </c>
      <c r="AR9" s="13">
        <f>AL9/E9</f>
        <v>5.3248254426509954E-2</v>
      </c>
      <c r="AS9" s="13">
        <f>AK9/E9</f>
        <v>9.0369690754241006E-2</v>
      </c>
      <c r="AT9" s="13">
        <f>AM9/E9</f>
        <v>0.14361794518075097</v>
      </c>
      <c r="AU9" s="12">
        <f>AN9/B9</f>
        <v>468.37119836211735</v>
      </c>
      <c r="AV9" s="20">
        <v>50577345</v>
      </c>
      <c r="AW9" s="20">
        <v>196820680</v>
      </c>
      <c r="AX9" s="20">
        <f>5599494+72243594</f>
        <v>77843088</v>
      </c>
      <c r="AY9" s="20">
        <f t="shared" si="2"/>
        <v>118977592</v>
      </c>
    </row>
    <row r="10" spans="1:51">
      <c r="A10" s="1">
        <v>2023</v>
      </c>
      <c r="B10" s="2">
        <v>30136</v>
      </c>
      <c r="C10" s="8">
        <v>83581776</v>
      </c>
      <c r="D10" s="3">
        <f>C10/B10</f>
        <v>2773.4860631802494</v>
      </c>
      <c r="E10" s="3">
        <v>68245992</v>
      </c>
      <c r="F10" s="3">
        <f>E10/B10</f>
        <v>2264.6002123705866</v>
      </c>
      <c r="G10" s="12">
        <v>9992829</v>
      </c>
      <c r="H10" s="50">
        <v>21363021</v>
      </c>
      <c r="I10" s="50">
        <v>0</v>
      </c>
      <c r="J10" s="3">
        <v>15755423</v>
      </c>
      <c r="K10" s="10">
        <f t="shared" si="0"/>
        <v>0.23086224609351419</v>
      </c>
      <c r="L10" s="3">
        <v>31316612</v>
      </c>
      <c r="M10" s="13">
        <f t="shared" si="3"/>
        <v>0.37468229916531087</v>
      </c>
      <c r="N10" s="3">
        <v>17140590</v>
      </c>
      <c r="O10" s="13">
        <f t="shared" si="4"/>
        <v>0.20507568539821408</v>
      </c>
      <c r="P10" s="3">
        <v>18272141</v>
      </c>
      <c r="Q10" s="13">
        <v>0.21859999999999999</v>
      </c>
      <c r="R10" s="3">
        <v>3296380</v>
      </c>
      <c r="S10" s="13">
        <f t="shared" si="5"/>
        <v>3.9438980095373902E-2</v>
      </c>
      <c r="T10" s="3">
        <v>9602805</v>
      </c>
      <c r="U10" s="13">
        <f t="shared" si="6"/>
        <v>0.11489113368445293</v>
      </c>
      <c r="V10" s="3">
        <v>86718</v>
      </c>
      <c r="W10" s="13">
        <f t="shared" si="7"/>
        <v>1.0375228207641818E-3</v>
      </c>
      <c r="X10" s="3">
        <v>761686</v>
      </c>
      <c r="Y10" s="13">
        <f t="shared" si="8"/>
        <v>9.1130631155767732E-3</v>
      </c>
      <c r="Z10" s="3">
        <v>2240926</v>
      </c>
      <c r="AA10" s="13">
        <f t="shared" si="9"/>
        <v>2.681117950879627E-2</v>
      </c>
      <c r="AB10" s="3">
        <v>32035</v>
      </c>
      <c r="AC10" s="13">
        <f t="shared" si="10"/>
        <v>3.8327733069467201E-4</v>
      </c>
      <c r="AD10" s="3">
        <v>190592</v>
      </c>
      <c r="AE10" s="13">
        <f t="shared" si="11"/>
        <v>2.2803056972610872E-3</v>
      </c>
      <c r="AF10" s="3">
        <v>641291</v>
      </c>
      <c r="AG10" s="13">
        <f t="shared" si="12"/>
        <v>7.6726175332766317E-3</v>
      </c>
      <c r="AH10" s="49">
        <v>0.72030000000000005</v>
      </c>
      <c r="AI10" s="80">
        <v>0.67090000000000005</v>
      </c>
      <c r="AJ10" s="3">
        <v>86723644</v>
      </c>
      <c r="AK10" s="3">
        <v>6114854</v>
      </c>
      <c r="AL10" s="3">
        <v>3615749</v>
      </c>
      <c r="AM10" s="3">
        <f t="shared" si="1"/>
        <v>9730603</v>
      </c>
      <c r="AN10" s="3">
        <v>19886383</v>
      </c>
      <c r="AO10" s="13">
        <f>AJ10/C10</f>
        <v>1.0375903474460748</v>
      </c>
      <c r="AP10" s="13">
        <f>AJ10/E10</f>
        <v>1.270750727749697</v>
      </c>
      <c r="AQ10" s="3">
        <f>AJ10/B10</f>
        <v>2877.7423679320414</v>
      </c>
      <c r="AR10" s="13">
        <f>AL10/E10</f>
        <v>5.2981118656755699E-2</v>
      </c>
      <c r="AS10" s="13">
        <f>AK10/E10</f>
        <v>8.9600192198832723E-2</v>
      </c>
      <c r="AT10" s="13">
        <f>AM10/E10</f>
        <v>0.14258131085558842</v>
      </c>
      <c r="AU10" s="12">
        <f>AN10/B10</f>
        <v>659.88794133262547</v>
      </c>
      <c r="AV10" s="20">
        <v>50642273</v>
      </c>
      <c r="AW10" s="20">
        <v>226195835</v>
      </c>
      <c r="AX10" s="20">
        <f>73442461+33715423</f>
        <v>107157884</v>
      </c>
      <c r="AY10" s="20">
        <f t="shared" si="2"/>
        <v>119037951</v>
      </c>
    </row>
    <row r="11" spans="1:51">
      <c r="A11" s="1">
        <v>2024</v>
      </c>
      <c r="B11" s="2">
        <v>30136</v>
      </c>
      <c r="C11" s="8">
        <v>89497161</v>
      </c>
      <c r="D11" s="3">
        <f>C11/B11</f>
        <v>2969.7757167507302</v>
      </c>
      <c r="E11" s="3">
        <v>76766690</v>
      </c>
      <c r="F11" s="3">
        <f>E11/B11</f>
        <v>2547.3417175471195</v>
      </c>
      <c r="G11" s="12">
        <v>9260384</v>
      </c>
      <c r="H11" s="50">
        <v>24182890</v>
      </c>
      <c r="I11" s="50">
        <v>0</v>
      </c>
      <c r="J11" s="3">
        <v>12798000</v>
      </c>
      <c r="K11" s="10">
        <f t="shared" si="0"/>
        <v>0.16671293239294283</v>
      </c>
      <c r="L11" s="3">
        <v>31562129</v>
      </c>
      <c r="M11" s="13">
        <f t="shared" si="3"/>
        <v>0.3526606726664771</v>
      </c>
      <c r="N11" s="3">
        <v>17627885</v>
      </c>
      <c r="O11" s="13">
        <f t="shared" si="4"/>
        <v>0.1969658568275702</v>
      </c>
      <c r="P11" s="3">
        <v>19288603</v>
      </c>
      <c r="Q11" s="13">
        <v>0.2155</v>
      </c>
      <c r="R11" s="3">
        <v>4226579</v>
      </c>
      <c r="S11" s="13">
        <f t="shared" si="5"/>
        <v>4.7225844404159369E-2</v>
      </c>
      <c r="T11" s="3">
        <v>9154969</v>
      </c>
      <c r="U11" s="13">
        <f t="shared" si="6"/>
        <v>0.10229340123984491</v>
      </c>
      <c r="V11" s="3">
        <v>86761</v>
      </c>
      <c r="W11" s="13">
        <f t="shared" si="7"/>
        <v>9.6942739893168231E-4</v>
      </c>
      <c r="X11" s="3">
        <v>721765</v>
      </c>
      <c r="Y11" s="13">
        <f t="shared" si="8"/>
        <v>8.0646692245355135E-3</v>
      </c>
      <c r="Z11" s="3">
        <v>5864062</v>
      </c>
      <c r="AA11" s="13">
        <f t="shared" si="9"/>
        <v>6.5522324222105771E-2</v>
      </c>
      <c r="AB11" s="3">
        <v>38604</v>
      </c>
      <c r="AC11" s="13">
        <f t="shared" si="10"/>
        <v>4.3134329143692054E-4</v>
      </c>
      <c r="AD11" s="3">
        <v>234142</v>
      </c>
      <c r="AE11" s="13">
        <f t="shared" si="11"/>
        <v>2.6161947192939448E-3</v>
      </c>
      <c r="AF11" s="3">
        <v>691662</v>
      </c>
      <c r="AG11" s="13">
        <f t="shared" si="12"/>
        <v>7.7283121863496876E-3</v>
      </c>
      <c r="AH11" s="49">
        <v>0.72370000000000001</v>
      </c>
      <c r="AI11" s="80">
        <v>0.66259999999999997</v>
      </c>
      <c r="AJ11" s="3">
        <v>90435768</v>
      </c>
      <c r="AK11" s="3">
        <v>6116378</v>
      </c>
      <c r="AL11" s="3">
        <v>3775363</v>
      </c>
      <c r="AM11" s="3">
        <f t="shared" si="1"/>
        <v>9891741</v>
      </c>
      <c r="AN11" s="3">
        <v>36355261</v>
      </c>
      <c r="AO11" s="13">
        <f>AJ11/C11</f>
        <v>1.010487561722768</v>
      </c>
      <c r="AP11" s="13">
        <f>AJ11/E11</f>
        <v>1.1780600153530132</v>
      </c>
      <c r="AQ11" s="3">
        <f>AJ11/B11</f>
        <v>3000.9214228829305</v>
      </c>
      <c r="AR11" s="13">
        <f>AL11/E11</f>
        <v>4.9179702811206268E-2</v>
      </c>
      <c r="AS11" s="13">
        <f>AK11/E11</f>
        <v>7.9674895452702205E-2</v>
      </c>
      <c r="AT11" s="13">
        <f>AM11/E11</f>
        <v>0.12885459826390847</v>
      </c>
      <c r="AU11" s="12">
        <f>AN11/B11</f>
        <v>1206.3731417573665</v>
      </c>
      <c r="AV11" s="20">
        <v>45541950</v>
      </c>
      <c r="AW11" s="20">
        <v>255017259</v>
      </c>
      <c r="AX11" s="20">
        <f>103279268+27229468</f>
        <v>130508736</v>
      </c>
      <c r="AY11" s="20">
        <f>AW11-AX11</f>
        <v>124508523</v>
      </c>
    </row>
    <row r="12" spans="1:51">
      <c r="A12" s="1">
        <v>2025</v>
      </c>
      <c r="B12" s="2">
        <v>31552</v>
      </c>
      <c r="C12" s="8">
        <v>93701502</v>
      </c>
      <c r="D12" s="3">
        <f>C12/B12</f>
        <v>2969.7484153144014</v>
      </c>
      <c r="E12" s="3">
        <v>79546065</v>
      </c>
      <c r="F12" s="3">
        <f>E12/B12</f>
        <v>2521.1100722616634</v>
      </c>
      <c r="G12" s="12">
        <v>18814286</v>
      </c>
      <c r="H12" s="50">
        <v>27243570</v>
      </c>
      <c r="I12" s="50">
        <v>0</v>
      </c>
      <c r="J12" s="3">
        <v>8016324</v>
      </c>
      <c r="K12" s="10">
        <f t="shared" si="0"/>
        <v>0.10077587118859996</v>
      </c>
      <c r="L12" s="3">
        <v>34450698</v>
      </c>
      <c r="M12" s="13">
        <f t="shared" si="3"/>
        <v>0.3676643091590997</v>
      </c>
      <c r="N12" s="3">
        <v>17385517</v>
      </c>
      <c r="O12" s="13">
        <f t="shared" si="4"/>
        <v>0.18554149750982646</v>
      </c>
      <c r="P12" s="3">
        <v>20168534</v>
      </c>
      <c r="Q12" s="13">
        <v>0.2152</v>
      </c>
      <c r="R12" s="3">
        <v>4298590</v>
      </c>
      <c r="S12" s="13">
        <f t="shared" si="5"/>
        <v>4.5875358540143789E-2</v>
      </c>
      <c r="T12" s="3">
        <v>8228052</v>
      </c>
      <c r="U12" s="13">
        <f t="shared" si="6"/>
        <v>8.7811313846388503E-2</v>
      </c>
      <c r="V12" s="3">
        <v>86202</v>
      </c>
      <c r="W12" s="13">
        <f t="shared" si="7"/>
        <v>9.1996390836936637E-4</v>
      </c>
      <c r="X12" s="3">
        <v>874106</v>
      </c>
      <c r="Y12" s="13">
        <f t="shared" si="8"/>
        <v>9.328623142028182E-3</v>
      </c>
      <c r="Z12" s="3">
        <v>6696234</v>
      </c>
      <c r="AA12" s="13">
        <f t="shared" si="9"/>
        <v>7.1463464907958463E-2</v>
      </c>
      <c r="AB12" s="3">
        <v>49261</v>
      </c>
      <c r="AC12" s="13">
        <f t="shared" si="10"/>
        <v>5.2572262929147066E-4</v>
      </c>
      <c r="AD12" s="3">
        <v>572380</v>
      </c>
      <c r="AE12" s="13">
        <f t="shared" si="11"/>
        <v>6.1085466911725709E-3</v>
      </c>
      <c r="AF12" s="3">
        <v>891928</v>
      </c>
      <c r="AG12" s="13">
        <f t="shared" si="12"/>
        <v>9.5188228679621376E-3</v>
      </c>
      <c r="AH12" s="49">
        <v>0.74829999999999997</v>
      </c>
      <c r="AI12" s="80">
        <v>0.67379999999999995</v>
      </c>
      <c r="AJ12" s="3">
        <v>87387469</v>
      </c>
      <c r="AK12" s="3">
        <v>6458510</v>
      </c>
      <c r="AL12" s="3">
        <v>4093196</v>
      </c>
      <c r="AM12" s="3">
        <f>AK12+AL12</f>
        <v>10551706</v>
      </c>
      <c r="AN12" s="3">
        <v>34587086</v>
      </c>
      <c r="AO12" s="13">
        <f>AJ12/C12</f>
        <v>0.9326154558333547</v>
      </c>
      <c r="AP12" s="13">
        <f>AJ12/E12</f>
        <v>1.0985768937784666</v>
      </c>
      <c r="AQ12" s="3">
        <f>AJ12/B12</f>
        <v>2769.6332720588234</v>
      </c>
      <c r="AR12" s="13">
        <f>AL12/E12</f>
        <v>5.1456926247703136E-2</v>
      </c>
      <c r="AS12" s="13">
        <f>AK12/E12</f>
        <v>8.1192074051683133E-2</v>
      </c>
      <c r="AT12" s="13">
        <f>AM12/E12</f>
        <v>0.13264900029938628</v>
      </c>
      <c r="AU12" s="12">
        <f>AN12/B12</f>
        <v>1096.1931414807302</v>
      </c>
      <c r="AV12" s="20">
        <v>52025477</v>
      </c>
      <c r="AW12" s="20">
        <f>AX12+AY12</f>
        <v>273804510</v>
      </c>
      <c r="AX12" s="20">
        <v>141759190</v>
      </c>
      <c r="AY12" s="20">
        <v>132045320</v>
      </c>
    </row>
    <row r="17" spans="14:37">
      <c r="AJ17" s="87"/>
      <c r="AK17" s="88"/>
    </row>
    <row r="18" spans="14:37">
      <c r="N18" s="11"/>
      <c r="AJ18" s="87"/>
      <c r="AK18" s="88"/>
    </row>
    <row r="19" spans="14:37">
      <c r="AJ19" s="87"/>
      <c r="AK19" s="88"/>
    </row>
    <row r="20" spans="14:37">
      <c r="AJ20" s="87"/>
      <c r="AK20" s="88"/>
    </row>
    <row r="21" spans="14:37">
      <c r="AJ21" s="87"/>
      <c r="AK21" s="88"/>
    </row>
    <row r="22" spans="14:37">
      <c r="AJ22" s="87"/>
      <c r="AK22" s="88"/>
    </row>
    <row r="23" spans="14:37">
      <c r="AJ23" s="87"/>
      <c r="AK23" s="88"/>
    </row>
    <row r="24" spans="14:37">
      <c r="AJ24" s="87"/>
      <c r="AK24" s="88"/>
    </row>
    <row r="25" spans="14:37">
      <c r="AJ25" s="87"/>
      <c r="AK25" s="88"/>
    </row>
    <row r="26" spans="14:37">
      <c r="AJ26" s="87"/>
      <c r="AK26" s="88"/>
    </row>
  </sheetData>
  <mergeCells count="5">
    <mergeCell ref="AV1:AY1"/>
    <mergeCell ref="AH1:AU1"/>
    <mergeCell ref="C1:G1"/>
    <mergeCell ref="L1:AG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EAF-7020-43F0-BF58-9C7DE59E542E}">
  <sheetPr>
    <tabColor theme="9"/>
  </sheetPr>
  <dimension ref="A1:AZ12"/>
  <sheetViews>
    <sheetView workbookViewId="0">
      <selection activeCell="C3" sqref="C3:C12"/>
    </sheetView>
  </sheetViews>
  <sheetFormatPr defaultRowHeight="15" customHeight="1"/>
  <cols>
    <col min="2" max="2" width="10.140625" customWidth="1"/>
    <col min="3" max="3" width="16.28515625" customWidth="1"/>
    <col min="4" max="4" width="16.5703125" customWidth="1"/>
    <col min="5" max="5" width="19.140625" customWidth="1"/>
    <col min="6" max="6" width="19.5703125" customWidth="1"/>
    <col min="7" max="9" width="17.28515625" customWidth="1"/>
    <col min="10" max="10" width="18.140625" customWidth="1"/>
    <col min="11" max="11" width="14.42578125" customWidth="1"/>
    <col min="12" max="12" width="14.85546875" customWidth="1"/>
    <col min="14" max="14" width="13.42578125" customWidth="1"/>
    <col min="16" max="16" width="13.5703125" customWidth="1"/>
    <col min="18" max="18" width="13" customWidth="1"/>
    <col min="20" max="20" width="16.7109375" customWidth="1"/>
    <col min="22" max="22" width="15.28515625" customWidth="1"/>
    <col min="23" max="23" width="12" customWidth="1"/>
    <col min="24" max="24" width="12.7109375" customWidth="1"/>
    <col min="26" max="26" width="13.42578125" customWidth="1"/>
    <col min="27" max="27" width="11" customWidth="1"/>
    <col min="28" max="28" width="16.28515625" customWidth="1"/>
    <col min="29" max="29" width="13.140625" customWidth="1"/>
    <col min="30" max="30" width="14" customWidth="1"/>
    <col min="32" max="32" width="17.42578125" customWidth="1"/>
    <col min="33" max="33" width="14.140625" customWidth="1"/>
    <col min="34" max="34" width="13.85546875" customWidth="1"/>
    <col min="35" max="35" width="13" customWidth="1"/>
    <col min="36" max="36" width="15.42578125" customWidth="1"/>
    <col min="37" max="37" width="20.7109375" customWidth="1"/>
    <col min="38" max="38" width="20.140625" customWidth="1"/>
    <col min="39" max="39" width="17.140625" customWidth="1"/>
    <col min="40" max="40" width="15.85546875" customWidth="1"/>
    <col min="41" max="41" width="18.7109375" customWidth="1"/>
    <col min="42" max="42" width="17.85546875" customWidth="1"/>
    <col min="43" max="43" width="13.42578125" customWidth="1"/>
    <col min="44" max="44" width="17.42578125" customWidth="1"/>
    <col min="45" max="45" width="16.7109375" customWidth="1"/>
    <col min="46" max="46" width="15" customWidth="1"/>
    <col min="47" max="47" width="14.85546875" customWidth="1"/>
    <col min="48" max="48" width="11.85546875" customWidth="1"/>
    <col min="49" max="49" width="17.140625" customWidth="1"/>
    <col min="50" max="51" width="15.85546875" customWidth="1"/>
    <col min="52" max="52" width="14.28515625" customWidth="1"/>
  </cols>
  <sheetData>
    <row r="1" spans="1:52">
      <c r="C1" s="94" t="s">
        <v>0</v>
      </c>
      <c r="D1" s="95"/>
      <c r="E1" s="95"/>
      <c r="F1" s="95"/>
      <c r="G1" s="95"/>
      <c r="H1" s="56"/>
      <c r="I1" s="51"/>
      <c r="J1" s="95" t="s">
        <v>57</v>
      </c>
      <c r="K1" s="96"/>
      <c r="L1" s="97" t="s">
        <v>2</v>
      </c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8"/>
      <c r="AJ1" s="52"/>
      <c r="AK1" s="94" t="s">
        <v>3</v>
      </c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9"/>
      <c r="AW1" s="94" t="s">
        <v>4</v>
      </c>
      <c r="AX1" s="95"/>
      <c r="AY1" s="95"/>
      <c r="AZ1" s="99"/>
    </row>
    <row r="2" spans="1:52" ht="43.5" customHeight="1">
      <c r="A2" s="31" t="s">
        <v>5</v>
      </c>
      <c r="B2" s="31" t="s">
        <v>6</v>
      </c>
      <c r="C2" s="32" t="s">
        <v>7</v>
      </c>
      <c r="D2" s="44" t="s">
        <v>8</v>
      </c>
      <c r="E2" s="44" t="s">
        <v>9</v>
      </c>
      <c r="F2" s="44" t="s">
        <v>10</v>
      </c>
      <c r="G2" s="44" t="s">
        <v>58</v>
      </c>
      <c r="H2" s="57" t="s">
        <v>59</v>
      </c>
      <c r="I2" s="44" t="s">
        <v>60</v>
      </c>
      <c r="J2" s="44" t="s">
        <v>14</v>
      </c>
      <c r="K2" s="59" t="s">
        <v>15</v>
      </c>
      <c r="L2" s="34" t="s">
        <v>16</v>
      </c>
      <c r="M2" s="34" t="s">
        <v>61</v>
      </c>
      <c r="N2" s="34" t="s">
        <v>62</v>
      </c>
      <c r="O2" s="34" t="s">
        <v>61</v>
      </c>
      <c r="P2" s="34" t="s">
        <v>63</v>
      </c>
      <c r="Q2" s="34" t="s">
        <v>61</v>
      </c>
      <c r="R2" s="34" t="s">
        <v>20</v>
      </c>
      <c r="S2" s="34" t="s">
        <v>61</v>
      </c>
      <c r="T2" s="34" t="s">
        <v>64</v>
      </c>
      <c r="U2" s="34" t="s">
        <v>61</v>
      </c>
      <c r="V2" s="34" t="s">
        <v>65</v>
      </c>
      <c r="W2" s="34" t="s">
        <v>61</v>
      </c>
      <c r="X2" s="34" t="s">
        <v>28</v>
      </c>
      <c r="Y2" s="34" t="s">
        <v>61</v>
      </c>
      <c r="Z2" s="34" t="s">
        <v>66</v>
      </c>
      <c r="AA2" s="34" t="s">
        <v>61</v>
      </c>
      <c r="AB2" s="34" t="s">
        <v>67</v>
      </c>
      <c r="AC2" s="34" t="s">
        <v>61</v>
      </c>
      <c r="AD2" s="34" t="s">
        <v>68</v>
      </c>
      <c r="AE2" s="34" t="s">
        <v>61</v>
      </c>
      <c r="AF2" s="34" t="s">
        <v>69</v>
      </c>
      <c r="AG2" s="34" t="s">
        <v>61</v>
      </c>
      <c r="AH2" s="34" t="s">
        <v>36</v>
      </c>
      <c r="AI2" s="35" t="s">
        <v>61</v>
      </c>
      <c r="AJ2" s="34" t="s">
        <v>39</v>
      </c>
      <c r="AK2" s="33" t="s">
        <v>70</v>
      </c>
      <c r="AL2" s="33" t="s">
        <v>40</v>
      </c>
      <c r="AM2" s="33" t="s">
        <v>41</v>
      </c>
      <c r="AN2" s="33" t="s">
        <v>42</v>
      </c>
      <c r="AO2" s="33" t="s">
        <v>43</v>
      </c>
      <c r="AP2" s="33" t="s">
        <v>44</v>
      </c>
      <c r="AQ2" s="33" t="s">
        <v>45</v>
      </c>
      <c r="AR2" s="33" t="s">
        <v>46</v>
      </c>
      <c r="AS2" s="33" t="s">
        <v>47</v>
      </c>
      <c r="AT2" s="33" t="s">
        <v>71</v>
      </c>
      <c r="AU2" s="33" t="s">
        <v>49</v>
      </c>
      <c r="AV2" s="33" t="s">
        <v>51</v>
      </c>
      <c r="AW2" s="47" t="s">
        <v>52</v>
      </c>
      <c r="AX2" s="33" t="s">
        <v>53</v>
      </c>
      <c r="AY2" s="33" t="s">
        <v>54</v>
      </c>
      <c r="AZ2" s="46" t="s">
        <v>55</v>
      </c>
    </row>
    <row r="3" spans="1:52">
      <c r="A3">
        <v>2016</v>
      </c>
      <c r="B3" s="2">
        <v>30219</v>
      </c>
      <c r="C3" s="8">
        <v>20782594</v>
      </c>
      <c r="D3" s="3">
        <f>C3/B3</f>
        <v>687.73268473476946</v>
      </c>
      <c r="E3" s="3">
        <v>18378966</v>
      </c>
      <c r="F3" s="3">
        <f>E3/B3</f>
        <v>608.19239551275689</v>
      </c>
      <c r="G3" s="3">
        <v>2590721</v>
      </c>
      <c r="H3" s="58">
        <v>2854000</v>
      </c>
      <c r="I3" s="3">
        <v>1000000</v>
      </c>
      <c r="J3" s="3">
        <v>9806000</v>
      </c>
      <c r="K3" s="60">
        <f>J3/E3</f>
        <v>0.53354470539855181</v>
      </c>
      <c r="L3" s="3">
        <v>11301176</v>
      </c>
      <c r="M3" s="13">
        <f>L3/C3</f>
        <v>0.54378081966091429</v>
      </c>
      <c r="N3" s="3">
        <v>1796315</v>
      </c>
      <c r="O3" s="13">
        <f>N3/C3</f>
        <v>8.6433628063946208E-2</v>
      </c>
      <c r="P3" s="1" t="s">
        <v>56</v>
      </c>
      <c r="Q3" s="36" t="e">
        <f>P3/C3</f>
        <v>#VALUE!</v>
      </c>
      <c r="R3" s="1" t="s">
        <v>56</v>
      </c>
      <c r="S3" s="36" t="e">
        <f>R3/C3</f>
        <v>#VALUE!</v>
      </c>
      <c r="T3" s="3">
        <v>897761</v>
      </c>
      <c r="U3" s="13">
        <f>T3/C3</f>
        <v>4.3197735566599629E-2</v>
      </c>
      <c r="V3" s="3">
        <v>1524679</v>
      </c>
      <c r="W3" s="13">
        <f>V3/C3</f>
        <v>7.3363267357289472E-2</v>
      </c>
      <c r="X3" s="3">
        <v>176740</v>
      </c>
      <c r="Y3" s="13">
        <f>X3/C3</f>
        <v>8.5042319548753152E-3</v>
      </c>
      <c r="Z3" s="1" t="s">
        <v>56</v>
      </c>
      <c r="AA3" s="36" t="e">
        <f>Z3/C3</f>
        <v>#VALUE!</v>
      </c>
      <c r="AB3" s="1" t="s">
        <v>56</v>
      </c>
      <c r="AC3" s="36" t="e">
        <f>AB3/C3</f>
        <v>#VALUE!</v>
      </c>
      <c r="AD3" s="3">
        <v>2068401</v>
      </c>
      <c r="AE3" s="13">
        <f>AD3/C3</f>
        <v>9.9525641505579146E-2</v>
      </c>
      <c r="AF3" s="3">
        <v>547075</v>
      </c>
      <c r="AG3" s="13">
        <f>AF3/C3</f>
        <v>2.6323711082456791E-2</v>
      </c>
      <c r="AH3" s="3">
        <v>2470447</v>
      </c>
      <c r="AI3" s="17">
        <f>AH3/C3</f>
        <v>0.11887096480833913</v>
      </c>
      <c r="AJ3" s="13">
        <v>0</v>
      </c>
      <c r="AK3" s="13">
        <v>0.9052</v>
      </c>
      <c r="AL3" s="3">
        <v>4226268</v>
      </c>
      <c r="AM3" s="3">
        <v>1109589</v>
      </c>
      <c r="AN3" s="1">
        <v>0</v>
      </c>
      <c r="AO3" s="3">
        <f>AM3+AN3</f>
        <v>1109589</v>
      </c>
      <c r="AP3" s="1"/>
      <c r="AQ3" s="13">
        <f>AL3/C3</f>
        <v>0.2033561354275602</v>
      </c>
      <c r="AR3" s="13">
        <f>AL3/E3</f>
        <v>0.22995134764382283</v>
      </c>
      <c r="AS3" s="3">
        <f>AL3/B3</f>
        <v>139.85466097488336</v>
      </c>
      <c r="AT3" s="13">
        <f>AO3/E3</f>
        <v>6.0372765257849653E-2</v>
      </c>
      <c r="AU3" s="13">
        <f>AM3/E3</f>
        <v>6.0372765257849653E-2</v>
      </c>
      <c r="AV3" s="1">
        <f>AP3/B3</f>
        <v>0</v>
      </c>
      <c r="AW3" s="53">
        <v>241613</v>
      </c>
      <c r="AX3" s="54">
        <f t="shared" ref="AX3:AX11" si="0">AY3+AZ3</f>
        <v>21682036</v>
      </c>
      <c r="AY3" s="54">
        <v>21682036</v>
      </c>
      <c r="AZ3" s="55">
        <v>0</v>
      </c>
    </row>
    <row r="4" spans="1:52">
      <c r="A4">
        <v>2017</v>
      </c>
      <c r="B4" s="2">
        <v>30569</v>
      </c>
      <c r="C4" s="8">
        <v>21112412</v>
      </c>
      <c r="D4" s="3">
        <f t="shared" ref="D4:D12" si="1">C4/B4</f>
        <v>690.64778043115575</v>
      </c>
      <c r="E4" s="3">
        <v>19203460</v>
      </c>
      <c r="F4" s="3">
        <f t="shared" ref="F4:F12" si="2">E4/B4</f>
        <v>628.20046452288261</v>
      </c>
      <c r="G4" s="3">
        <v>3450314</v>
      </c>
      <c r="H4" s="58">
        <v>2672000</v>
      </c>
      <c r="I4" s="3">
        <v>1000000</v>
      </c>
      <c r="J4" s="3">
        <v>6655000</v>
      </c>
      <c r="K4" s="60">
        <f t="shared" ref="K4:K12" si="3">J4/E4</f>
        <v>0.34655213175125732</v>
      </c>
      <c r="L4" s="3">
        <v>12003942</v>
      </c>
      <c r="M4" s="13">
        <f t="shared" ref="M4:M12" si="4">L4/C4</f>
        <v>0.56857274289645354</v>
      </c>
      <c r="N4" s="3">
        <v>1781998</v>
      </c>
      <c r="O4" s="13">
        <f t="shared" ref="O4:O12" si="5">N4/C4</f>
        <v>8.4405230439800055E-2</v>
      </c>
      <c r="P4" s="1" t="s">
        <v>56</v>
      </c>
      <c r="Q4" s="36" t="e">
        <f t="shared" ref="Q4:Q12" si="6">P4/C4</f>
        <v>#VALUE!</v>
      </c>
      <c r="R4" s="1" t="s">
        <v>56</v>
      </c>
      <c r="S4" s="36" t="e">
        <f t="shared" ref="S4:S12" si="7">R4/C4</f>
        <v>#VALUE!</v>
      </c>
      <c r="T4" s="3">
        <v>857050</v>
      </c>
      <c r="U4" s="13">
        <f t="shared" ref="U4:U12" si="8">T4/C4</f>
        <v>4.0594603780941749E-2</v>
      </c>
      <c r="V4" s="3">
        <v>1455455</v>
      </c>
      <c r="W4" s="13">
        <f t="shared" ref="W4:W12" si="9">V4/C4</f>
        <v>6.8938357209019988E-2</v>
      </c>
      <c r="X4" s="3">
        <v>161398</v>
      </c>
      <c r="Y4" s="13">
        <f t="shared" ref="Y4:Y12" si="10">X4/C4</f>
        <v>7.644697346755075E-3</v>
      </c>
      <c r="Z4" s="1" t="s">
        <v>56</v>
      </c>
      <c r="AA4" s="36" t="e">
        <f t="shared" ref="AA4:AA12" si="11">Z4/C4</f>
        <v>#VALUE!</v>
      </c>
      <c r="AB4" s="1" t="s">
        <v>56</v>
      </c>
      <c r="AC4" s="36" t="e">
        <f t="shared" ref="AC4:AC12" si="12">AB4/C4</f>
        <v>#VALUE!</v>
      </c>
      <c r="AD4" s="3">
        <v>2170870</v>
      </c>
      <c r="AE4" s="13">
        <f t="shared" ref="AE4:AE12" si="13">AD4/C4</f>
        <v>0.10282434806596233</v>
      </c>
      <c r="AF4" s="3">
        <v>584480</v>
      </c>
      <c r="AG4" s="13">
        <f t="shared" ref="AG4:AG12" si="14">AF4/C4</f>
        <v>2.7684188807986506E-2</v>
      </c>
      <c r="AH4" s="3">
        <v>2097219</v>
      </c>
      <c r="AI4" s="17">
        <f t="shared" ref="AI4:AI12" si="15">AH4/C4</f>
        <v>9.9335831453080781E-2</v>
      </c>
      <c r="AJ4" s="13">
        <v>0</v>
      </c>
      <c r="AK4" s="13">
        <v>0.85599999999999998</v>
      </c>
      <c r="AL4" s="3">
        <v>6335606</v>
      </c>
      <c r="AM4" s="3">
        <v>1016197</v>
      </c>
      <c r="AN4" s="1">
        <v>0</v>
      </c>
      <c r="AO4" s="3">
        <f t="shared" ref="AO4:AO12" si="16">AM4+AN4</f>
        <v>1016197</v>
      </c>
      <c r="AP4" s="1"/>
      <c r="AQ4" s="13">
        <f t="shared" ref="AQ4:AQ12" si="17">AL4/C4</f>
        <v>0.3000891608216058</v>
      </c>
      <c r="AR4" s="13">
        <f t="shared" ref="AR4:AR12" si="18">AL4/E4</f>
        <v>0.32992002482885896</v>
      </c>
      <c r="AS4" s="3">
        <f t="shared" ref="AS4:AS12" si="19">AL4/B4</f>
        <v>207.25591285289019</v>
      </c>
      <c r="AT4" s="13">
        <f t="shared" ref="AT4:AT12" si="20">AO4/E4</f>
        <v>5.2917390928509757E-2</v>
      </c>
      <c r="AU4" s="13">
        <f t="shared" ref="AU4:AU12" si="21">AM4/E4</f>
        <v>5.2917390928509757E-2</v>
      </c>
      <c r="AV4" s="1">
        <f t="shared" ref="AV4:AV12" si="22">AP4/B4</f>
        <v>0</v>
      </c>
      <c r="AW4" s="53">
        <v>546301</v>
      </c>
      <c r="AX4" s="54">
        <f t="shared" si="0"/>
        <v>22285660</v>
      </c>
      <c r="AY4" s="54">
        <v>22285660</v>
      </c>
      <c r="AZ4" s="55">
        <v>0</v>
      </c>
    </row>
    <row r="5" spans="1:52">
      <c r="A5">
        <v>2018</v>
      </c>
      <c r="B5" s="2">
        <v>31435</v>
      </c>
      <c r="C5" s="8">
        <v>22970108</v>
      </c>
      <c r="D5" s="3">
        <f t="shared" si="1"/>
        <v>730.71760776204871</v>
      </c>
      <c r="E5" s="3">
        <v>19389791</v>
      </c>
      <c r="F5" s="3">
        <f t="shared" si="2"/>
        <v>616.82172737394626</v>
      </c>
      <c r="G5" s="3">
        <v>4747375</v>
      </c>
      <c r="H5" s="58">
        <v>3705000</v>
      </c>
      <c r="I5" s="3">
        <v>1000000</v>
      </c>
      <c r="J5" s="3">
        <v>6659000</v>
      </c>
      <c r="K5" s="60">
        <f t="shared" si="3"/>
        <v>0.34342814731731763</v>
      </c>
      <c r="L5" s="3">
        <v>12963531</v>
      </c>
      <c r="M5" s="13">
        <f t="shared" si="4"/>
        <v>0.56436526114722663</v>
      </c>
      <c r="N5" s="3">
        <v>1840737</v>
      </c>
      <c r="O5" s="13">
        <f t="shared" si="5"/>
        <v>8.0136192655254387E-2</v>
      </c>
      <c r="P5" s="1" t="s">
        <v>56</v>
      </c>
      <c r="Q5" s="36" t="e">
        <f t="shared" si="6"/>
        <v>#VALUE!</v>
      </c>
      <c r="R5" s="1" t="s">
        <v>56</v>
      </c>
      <c r="S5" s="36" t="e">
        <f t="shared" si="7"/>
        <v>#VALUE!</v>
      </c>
      <c r="T5" s="3">
        <v>960363</v>
      </c>
      <c r="U5" s="13">
        <f t="shared" si="8"/>
        <v>4.1809250526815112E-2</v>
      </c>
      <c r="V5" s="3">
        <v>2204627</v>
      </c>
      <c r="W5" s="13">
        <f t="shared" si="9"/>
        <v>9.5978085954145267E-2</v>
      </c>
      <c r="X5" s="3">
        <v>110190</v>
      </c>
      <c r="Y5" s="13">
        <f t="shared" si="10"/>
        <v>4.7971041320310727E-3</v>
      </c>
      <c r="Z5" s="1" t="s">
        <v>56</v>
      </c>
      <c r="AA5" s="36" t="e">
        <f t="shared" si="11"/>
        <v>#VALUE!</v>
      </c>
      <c r="AB5" s="1" t="s">
        <v>56</v>
      </c>
      <c r="AC5" s="36" t="e">
        <f t="shared" si="12"/>
        <v>#VALUE!</v>
      </c>
      <c r="AD5" s="3">
        <v>2166165</v>
      </c>
      <c r="AE5" s="13">
        <f t="shared" si="13"/>
        <v>9.4303648898821021E-2</v>
      </c>
      <c r="AF5" s="3">
        <v>557025</v>
      </c>
      <c r="AG5" s="13">
        <f t="shared" si="14"/>
        <v>2.4249994819353918E-2</v>
      </c>
      <c r="AH5" s="3">
        <v>2167470</v>
      </c>
      <c r="AI5" s="17">
        <f t="shared" si="15"/>
        <v>9.4360461866352566E-2</v>
      </c>
      <c r="AJ5" s="13">
        <v>0</v>
      </c>
      <c r="AK5" s="13">
        <v>0.84660000000000002</v>
      </c>
      <c r="AL5" s="3">
        <v>7556748</v>
      </c>
      <c r="AM5" s="3">
        <v>1289450</v>
      </c>
      <c r="AN5" s="1">
        <v>0</v>
      </c>
      <c r="AO5" s="3">
        <f t="shared" si="16"/>
        <v>1289450</v>
      </c>
      <c r="AP5" s="1"/>
      <c r="AQ5" s="13">
        <f t="shared" si="17"/>
        <v>0.32898182281075911</v>
      </c>
      <c r="AR5" s="13">
        <f t="shared" si="18"/>
        <v>0.38972818221712652</v>
      </c>
      <c r="AS5" s="3">
        <f t="shared" si="19"/>
        <v>240.39281056147607</v>
      </c>
      <c r="AT5" s="13">
        <f t="shared" si="20"/>
        <v>6.6501490397704643E-2</v>
      </c>
      <c r="AU5" s="13">
        <f t="shared" si="21"/>
        <v>6.6501490397704643E-2</v>
      </c>
      <c r="AV5" s="1">
        <f t="shared" si="22"/>
        <v>0</v>
      </c>
      <c r="AW5" s="53">
        <v>625825</v>
      </c>
      <c r="AX5" s="54">
        <f t="shared" si="0"/>
        <v>25561999</v>
      </c>
      <c r="AY5" s="54">
        <v>25561999</v>
      </c>
      <c r="AZ5" s="55">
        <v>0</v>
      </c>
    </row>
    <row r="6" spans="1:52">
      <c r="A6" s="1">
        <v>2019</v>
      </c>
      <c r="B6" s="2">
        <v>31407</v>
      </c>
      <c r="C6" s="8">
        <v>24115948</v>
      </c>
      <c r="D6" s="3">
        <f t="shared" si="1"/>
        <v>767.85264431496159</v>
      </c>
      <c r="E6" s="3">
        <v>20887805</v>
      </c>
      <c r="F6" s="3">
        <f t="shared" si="2"/>
        <v>665.06845607667083</v>
      </c>
      <c r="G6" s="3">
        <v>7458141</v>
      </c>
      <c r="H6" s="58">
        <v>5399000</v>
      </c>
      <c r="I6" s="3">
        <v>1000000</v>
      </c>
      <c r="J6" s="3">
        <v>8117000</v>
      </c>
      <c r="K6" s="60">
        <f t="shared" si="3"/>
        <v>0.38859995102405448</v>
      </c>
      <c r="L6" s="3">
        <v>14166178</v>
      </c>
      <c r="M6" s="13">
        <f t="shared" si="4"/>
        <v>0.58741949518219227</v>
      </c>
      <c r="N6" s="3">
        <v>2279219</v>
      </c>
      <c r="O6" s="13">
        <f t="shared" si="5"/>
        <v>9.451086061389749E-2</v>
      </c>
      <c r="P6" s="1" t="s">
        <v>56</v>
      </c>
      <c r="Q6" s="36" t="e">
        <f t="shared" si="6"/>
        <v>#VALUE!</v>
      </c>
      <c r="R6" s="1" t="s">
        <v>56</v>
      </c>
      <c r="S6" s="36" t="e">
        <f t="shared" si="7"/>
        <v>#VALUE!</v>
      </c>
      <c r="T6" s="3">
        <v>896420</v>
      </c>
      <c r="U6" s="13">
        <f t="shared" si="8"/>
        <v>3.7171252815771536E-2</v>
      </c>
      <c r="V6" s="3">
        <v>1909022</v>
      </c>
      <c r="W6" s="13">
        <f t="shared" si="9"/>
        <v>7.9160147467559644E-2</v>
      </c>
      <c r="X6" s="3">
        <v>118293</v>
      </c>
      <c r="Y6" s="13">
        <f t="shared" si="10"/>
        <v>4.905177271073897E-3</v>
      </c>
      <c r="Z6" s="1" t="s">
        <v>56</v>
      </c>
      <c r="AA6" s="36" t="e">
        <f t="shared" si="11"/>
        <v>#VALUE!</v>
      </c>
      <c r="AB6" s="1" t="s">
        <v>56</v>
      </c>
      <c r="AC6" s="36" t="e">
        <f t="shared" si="12"/>
        <v>#VALUE!</v>
      </c>
      <c r="AD6" s="3">
        <v>2289964</v>
      </c>
      <c r="AE6" s="13">
        <f t="shared" si="13"/>
        <v>9.4956416393002674E-2</v>
      </c>
      <c r="AF6" s="3">
        <v>533057</v>
      </c>
      <c r="AG6" s="13">
        <f t="shared" si="14"/>
        <v>2.2103920608885042E-2</v>
      </c>
      <c r="AH6" s="3">
        <v>1923795</v>
      </c>
      <c r="AI6" s="17">
        <f t="shared" si="15"/>
        <v>7.9772729647617419E-2</v>
      </c>
      <c r="AJ6" s="13">
        <v>0</v>
      </c>
      <c r="AK6" s="13">
        <v>0.85340000000000005</v>
      </c>
      <c r="AL6" s="3">
        <v>7236672</v>
      </c>
      <c r="AM6" s="3">
        <v>1637179</v>
      </c>
      <c r="AN6" s="1">
        <v>0</v>
      </c>
      <c r="AO6" s="3">
        <f t="shared" si="16"/>
        <v>1637179</v>
      </c>
      <c r="AP6" s="1"/>
      <c r="AQ6" s="13">
        <f t="shared" si="17"/>
        <v>0.30007827185562019</v>
      </c>
      <c r="AR6" s="13">
        <f t="shared" si="18"/>
        <v>0.346454402461149</v>
      </c>
      <c r="AS6" s="3">
        <f t="shared" si="19"/>
        <v>230.4158945458019</v>
      </c>
      <c r="AT6" s="13">
        <f t="shared" si="20"/>
        <v>7.8379657412542866E-2</v>
      </c>
      <c r="AU6" s="13">
        <f t="shared" si="21"/>
        <v>7.8379657412542866E-2</v>
      </c>
      <c r="AV6" s="1">
        <f t="shared" si="22"/>
        <v>0</v>
      </c>
      <c r="AW6" s="53">
        <v>1534561</v>
      </c>
      <c r="AX6" s="54">
        <f t="shared" si="0"/>
        <v>28325319</v>
      </c>
      <c r="AY6" s="54">
        <v>28325319</v>
      </c>
      <c r="AZ6" s="55">
        <v>0</v>
      </c>
    </row>
    <row r="7" spans="1:52">
      <c r="A7" s="1">
        <v>2020</v>
      </c>
      <c r="B7" s="2">
        <v>31030</v>
      </c>
      <c r="C7" s="8">
        <v>23508914</v>
      </c>
      <c r="D7" s="3">
        <f t="shared" si="1"/>
        <v>757.61888495004837</v>
      </c>
      <c r="E7" s="3">
        <v>21436239</v>
      </c>
      <c r="F7" s="3">
        <f t="shared" si="2"/>
        <v>690.82304221720915</v>
      </c>
      <c r="G7" s="3">
        <v>7270000</v>
      </c>
      <c r="H7" s="58">
        <v>5845000</v>
      </c>
      <c r="I7" s="3">
        <v>1000000</v>
      </c>
      <c r="J7" s="3">
        <v>7477000</v>
      </c>
      <c r="K7" s="60">
        <f t="shared" si="3"/>
        <v>0.3488018583856991</v>
      </c>
      <c r="L7" s="3">
        <v>15031057</v>
      </c>
      <c r="M7" s="13">
        <f t="shared" si="4"/>
        <v>0.6393769188997841</v>
      </c>
      <c r="N7" s="3">
        <v>1910570</v>
      </c>
      <c r="O7" s="13">
        <f t="shared" si="5"/>
        <v>8.1270023787572657E-2</v>
      </c>
      <c r="P7" s="1" t="s">
        <v>56</v>
      </c>
      <c r="Q7" s="36" t="e">
        <f t="shared" si="6"/>
        <v>#VALUE!</v>
      </c>
      <c r="R7" s="1" t="s">
        <v>56</v>
      </c>
      <c r="S7" s="36" t="e">
        <f t="shared" si="7"/>
        <v>#VALUE!</v>
      </c>
      <c r="T7" s="3">
        <v>807385</v>
      </c>
      <c r="U7" s="13">
        <f t="shared" si="8"/>
        <v>3.4343781256760735E-2</v>
      </c>
      <c r="V7" s="3">
        <v>1601278</v>
      </c>
      <c r="W7" s="13">
        <f t="shared" si="9"/>
        <v>6.8113652548986311E-2</v>
      </c>
      <c r="X7" s="3">
        <v>104829</v>
      </c>
      <c r="Y7" s="13">
        <f t="shared" si="10"/>
        <v>4.459117082141693E-3</v>
      </c>
      <c r="Z7" s="1" t="s">
        <v>56</v>
      </c>
      <c r="AA7" s="36" t="e">
        <f t="shared" si="11"/>
        <v>#VALUE!</v>
      </c>
      <c r="AB7" s="1" t="s">
        <v>56</v>
      </c>
      <c r="AC7" s="36" t="e">
        <f t="shared" si="12"/>
        <v>#VALUE!</v>
      </c>
      <c r="AD7" s="3">
        <v>2244318</v>
      </c>
      <c r="AE7" s="13">
        <f t="shared" si="13"/>
        <v>9.5466681276727625E-2</v>
      </c>
      <c r="AF7" s="3">
        <v>586289</v>
      </c>
      <c r="AG7" s="13">
        <f t="shared" si="14"/>
        <v>2.4939008241724819E-2</v>
      </c>
      <c r="AH7" s="3">
        <v>1223188</v>
      </c>
      <c r="AI7" s="17">
        <f t="shared" si="15"/>
        <v>5.2030816906302006E-2</v>
      </c>
      <c r="AJ7" s="13">
        <v>0</v>
      </c>
      <c r="AK7" s="13">
        <v>0.85360000000000003</v>
      </c>
      <c r="AL7" s="3">
        <v>7614972</v>
      </c>
      <c r="AM7" s="3">
        <v>1701847</v>
      </c>
      <c r="AN7" s="1">
        <v>0</v>
      </c>
      <c r="AO7" s="3">
        <f t="shared" si="16"/>
        <v>1701847</v>
      </c>
      <c r="AP7" s="1"/>
      <c r="AQ7" s="13">
        <f t="shared" si="17"/>
        <v>0.32391849321495669</v>
      </c>
      <c r="AR7" s="13">
        <f t="shared" si="18"/>
        <v>0.35523824864986808</v>
      </c>
      <c r="AS7" s="3">
        <f t="shared" si="19"/>
        <v>245.40676764421528</v>
      </c>
      <c r="AT7" s="13">
        <f t="shared" si="20"/>
        <v>7.9391118936488814E-2</v>
      </c>
      <c r="AU7" s="13">
        <f t="shared" si="21"/>
        <v>7.9391118936488814E-2</v>
      </c>
      <c r="AV7" s="1">
        <f t="shared" si="22"/>
        <v>0</v>
      </c>
      <c r="AW7" s="53">
        <v>1018612</v>
      </c>
      <c r="AX7" s="54">
        <f t="shared" si="0"/>
        <v>28799507</v>
      </c>
      <c r="AY7" s="54">
        <v>28799507</v>
      </c>
      <c r="AZ7" s="55">
        <v>0</v>
      </c>
    </row>
    <row r="8" spans="1:52">
      <c r="A8" s="1">
        <v>2021</v>
      </c>
      <c r="B8" s="2">
        <v>30546</v>
      </c>
      <c r="C8" s="8">
        <v>26400850</v>
      </c>
      <c r="D8" s="3">
        <f t="shared" si="1"/>
        <v>864.29810777188504</v>
      </c>
      <c r="E8" s="3">
        <v>23234432</v>
      </c>
      <c r="F8" s="3">
        <f t="shared" si="2"/>
        <v>760.63746480717612</v>
      </c>
      <c r="G8" s="3">
        <v>5866000</v>
      </c>
      <c r="H8" s="58">
        <v>6518000</v>
      </c>
      <c r="I8" s="3">
        <v>1000000</v>
      </c>
      <c r="J8" s="3">
        <v>7634000</v>
      </c>
      <c r="K8" s="60">
        <f t="shared" si="3"/>
        <v>0.3285640897096172</v>
      </c>
      <c r="L8" s="3">
        <v>16277201</v>
      </c>
      <c r="M8" s="13">
        <f t="shared" si="4"/>
        <v>0.61654079319415855</v>
      </c>
      <c r="N8" s="3">
        <v>1136386</v>
      </c>
      <c r="O8" s="13">
        <f t="shared" si="5"/>
        <v>4.3043538370923666E-2</v>
      </c>
      <c r="P8" s="1" t="s">
        <v>56</v>
      </c>
      <c r="Q8" s="36" t="e">
        <f t="shared" si="6"/>
        <v>#VALUE!</v>
      </c>
      <c r="R8" s="1" t="s">
        <v>56</v>
      </c>
      <c r="S8" s="36" t="e">
        <f t="shared" si="7"/>
        <v>#VALUE!</v>
      </c>
      <c r="T8" s="3">
        <v>868821</v>
      </c>
      <c r="U8" s="13">
        <f t="shared" si="8"/>
        <v>3.2908826799137147E-2</v>
      </c>
      <c r="V8" s="3">
        <v>2151704</v>
      </c>
      <c r="W8" s="13">
        <f t="shared" si="9"/>
        <v>8.1501315298560459E-2</v>
      </c>
      <c r="X8" s="3">
        <v>81323</v>
      </c>
      <c r="Y8" s="13">
        <f t="shared" si="10"/>
        <v>3.0803174897777912E-3</v>
      </c>
      <c r="Z8" s="1" t="s">
        <v>56</v>
      </c>
      <c r="AA8" s="36" t="e">
        <f t="shared" si="11"/>
        <v>#VALUE!</v>
      </c>
      <c r="AB8" s="3">
        <v>949392</v>
      </c>
      <c r="AC8" s="36">
        <f t="shared" si="12"/>
        <v>3.5960660357526368E-2</v>
      </c>
      <c r="AD8" s="3">
        <v>2264237</v>
      </c>
      <c r="AE8" s="13">
        <f t="shared" si="13"/>
        <v>8.5763791696100697E-2</v>
      </c>
      <c r="AF8" s="3">
        <v>971599</v>
      </c>
      <c r="AG8" s="13">
        <f t="shared" si="14"/>
        <v>3.6801807517560986E-2</v>
      </c>
      <c r="AH8" s="3">
        <v>1700187</v>
      </c>
      <c r="AI8" s="17">
        <f t="shared" si="15"/>
        <v>6.4398949276254364E-2</v>
      </c>
      <c r="AJ8" s="13">
        <v>0</v>
      </c>
      <c r="AK8" s="13">
        <v>0.85119999999999996</v>
      </c>
      <c r="AL8" s="3">
        <v>8204013</v>
      </c>
      <c r="AM8" s="3">
        <v>1733461</v>
      </c>
      <c r="AN8" s="1">
        <v>0</v>
      </c>
      <c r="AO8" s="3">
        <f t="shared" si="16"/>
        <v>1733461</v>
      </c>
      <c r="AP8" s="1"/>
      <c r="AQ8" s="13">
        <f t="shared" si="17"/>
        <v>0.31074806303584923</v>
      </c>
      <c r="AR8" s="13">
        <f t="shared" si="18"/>
        <v>0.35309720504465097</v>
      </c>
      <c r="AS8" s="3">
        <f t="shared" si="19"/>
        <v>268.57896287566291</v>
      </c>
      <c r="AT8" s="13">
        <f t="shared" si="20"/>
        <v>7.4607418851470098E-2</v>
      </c>
      <c r="AU8" s="13">
        <f t="shared" si="21"/>
        <v>7.4607418851470098E-2</v>
      </c>
      <c r="AV8" s="1">
        <f t="shared" si="22"/>
        <v>0</v>
      </c>
      <c r="AW8" s="53">
        <v>-347605</v>
      </c>
      <c r="AX8" s="54">
        <f t="shared" si="0"/>
        <v>31244145</v>
      </c>
      <c r="AY8" s="54">
        <v>31244145</v>
      </c>
      <c r="AZ8" s="55">
        <v>0</v>
      </c>
    </row>
    <row r="9" spans="1:52">
      <c r="A9" s="1">
        <v>2022</v>
      </c>
      <c r="B9" s="2">
        <v>30667</v>
      </c>
      <c r="C9" s="8">
        <v>26874382</v>
      </c>
      <c r="D9" s="3">
        <f t="shared" si="1"/>
        <v>876.32901816284607</v>
      </c>
      <c r="E9" s="3">
        <v>23725375</v>
      </c>
      <c r="F9" s="3">
        <f t="shared" si="2"/>
        <v>773.64512342257149</v>
      </c>
      <c r="G9" s="3">
        <v>5397000</v>
      </c>
      <c r="H9" s="58">
        <v>7229000</v>
      </c>
      <c r="I9" s="3">
        <v>1000000</v>
      </c>
      <c r="J9" s="3">
        <v>7177000</v>
      </c>
      <c r="K9" s="60">
        <f t="shared" si="3"/>
        <v>0.30250312165771881</v>
      </c>
      <c r="L9" s="3">
        <v>17409864</v>
      </c>
      <c r="M9" s="13">
        <f t="shared" si="4"/>
        <v>0.64782378995729095</v>
      </c>
      <c r="N9" s="3">
        <v>1409767</v>
      </c>
      <c r="O9" s="13">
        <f t="shared" si="5"/>
        <v>5.2457652793653081E-2</v>
      </c>
      <c r="P9" s="1" t="s">
        <v>56</v>
      </c>
      <c r="Q9" s="36" t="e">
        <f t="shared" si="6"/>
        <v>#VALUE!</v>
      </c>
      <c r="R9" s="1" t="s">
        <v>56</v>
      </c>
      <c r="S9" s="36" t="e">
        <f t="shared" si="7"/>
        <v>#VALUE!</v>
      </c>
      <c r="T9" s="3">
        <v>1054587</v>
      </c>
      <c r="U9" s="13">
        <f t="shared" si="8"/>
        <v>3.9241348880134246E-2</v>
      </c>
      <c r="V9" s="3">
        <v>2292527</v>
      </c>
      <c r="W9" s="13">
        <f t="shared" si="9"/>
        <v>8.5305291857502061E-2</v>
      </c>
      <c r="X9" s="3">
        <v>95697</v>
      </c>
      <c r="Y9" s="13">
        <f t="shared" si="10"/>
        <v>3.5609004888000773E-3</v>
      </c>
      <c r="Z9" s="1" t="s">
        <v>56</v>
      </c>
      <c r="AA9" s="36" t="e">
        <f t="shared" si="11"/>
        <v>#VALUE!</v>
      </c>
      <c r="AB9" s="3">
        <v>923533</v>
      </c>
      <c r="AC9" s="36">
        <f t="shared" si="12"/>
        <v>3.4364808835418058E-2</v>
      </c>
      <c r="AD9" s="3">
        <v>2418837</v>
      </c>
      <c r="AE9" s="13">
        <f t="shared" si="13"/>
        <v>9.000530691273198E-2</v>
      </c>
      <c r="AF9" s="3">
        <v>596523</v>
      </c>
      <c r="AG9" s="13">
        <f t="shared" si="14"/>
        <v>2.2196715072368919E-2</v>
      </c>
      <c r="AH9" s="3">
        <v>673047</v>
      </c>
      <c r="AI9" s="17">
        <f t="shared" si="15"/>
        <v>2.5044185202100649E-2</v>
      </c>
      <c r="AJ9" s="13">
        <v>0</v>
      </c>
      <c r="AK9" s="13">
        <v>0.98760000000000003</v>
      </c>
      <c r="AL9" s="3">
        <v>727447</v>
      </c>
      <c r="AM9" s="3">
        <v>1756965</v>
      </c>
      <c r="AN9" s="1">
        <v>0</v>
      </c>
      <c r="AO9" s="3">
        <f t="shared" si="16"/>
        <v>1756965</v>
      </c>
      <c r="AP9" s="3">
        <v>2260718</v>
      </c>
      <c r="AQ9" s="13">
        <f t="shared" si="17"/>
        <v>2.7068417796546913E-2</v>
      </c>
      <c r="AR9" s="13">
        <f t="shared" si="18"/>
        <v>3.0661138127426858E-2</v>
      </c>
      <c r="AS9" s="3">
        <f t="shared" si="19"/>
        <v>23.720839990869663</v>
      </c>
      <c r="AT9" s="13">
        <f t="shared" si="20"/>
        <v>7.4054256255169829E-2</v>
      </c>
      <c r="AU9" s="13">
        <f t="shared" si="21"/>
        <v>7.4054256255169829E-2</v>
      </c>
      <c r="AV9" s="1">
        <f t="shared" si="22"/>
        <v>73.718263931913782</v>
      </c>
      <c r="AW9" s="53">
        <v>2438791</v>
      </c>
      <c r="AX9" s="54">
        <f t="shared" si="0"/>
        <v>34555852</v>
      </c>
      <c r="AY9" s="54">
        <v>34555852</v>
      </c>
      <c r="AZ9" s="55">
        <v>0</v>
      </c>
    </row>
    <row r="10" spans="1:52">
      <c r="A10" s="1">
        <v>2023</v>
      </c>
      <c r="B10" s="2">
        <v>30567</v>
      </c>
      <c r="C10" s="8">
        <v>29142706</v>
      </c>
      <c r="D10" s="3">
        <f t="shared" si="1"/>
        <v>953.40419406549552</v>
      </c>
      <c r="E10" s="3">
        <v>25572201</v>
      </c>
      <c r="F10" s="3">
        <f t="shared" si="2"/>
        <v>836.5950534890568</v>
      </c>
      <c r="G10" s="3">
        <v>1751000</v>
      </c>
      <c r="H10" s="58">
        <v>7335000</v>
      </c>
      <c r="I10" s="3">
        <v>1000000</v>
      </c>
      <c r="J10" s="3">
        <v>6828000</v>
      </c>
      <c r="K10" s="60">
        <f t="shared" si="3"/>
        <v>0.26700869432396529</v>
      </c>
      <c r="L10" s="3">
        <v>17694182</v>
      </c>
      <c r="M10" s="13">
        <f t="shared" si="4"/>
        <v>0.60715645280160324</v>
      </c>
      <c r="N10" s="3">
        <v>1381033</v>
      </c>
      <c r="O10" s="13">
        <f t="shared" si="5"/>
        <v>4.7388633025361476E-2</v>
      </c>
      <c r="P10" s="3">
        <v>170411</v>
      </c>
      <c r="Q10" s="36">
        <f t="shared" si="6"/>
        <v>5.8474666010767838E-3</v>
      </c>
      <c r="R10" s="3">
        <v>431270</v>
      </c>
      <c r="S10" s="36">
        <f t="shared" si="7"/>
        <v>1.4798557141536548E-2</v>
      </c>
      <c r="T10" s="3">
        <v>3366868</v>
      </c>
      <c r="U10" s="13">
        <f t="shared" si="8"/>
        <v>0.11553038348600847</v>
      </c>
      <c r="V10" s="3">
        <v>205345</v>
      </c>
      <c r="W10" s="13">
        <f t="shared" si="9"/>
        <v>7.0461885042521445E-3</v>
      </c>
      <c r="X10" s="3">
        <v>59995</v>
      </c>
      <c r="Y10" s="13">
        <f t="shared" si="10"/>
        <v>2.0586626375738754E-3</v>
      </c>
      <c r="Z10" s="3">
        <v>673332</v>
      </c>
      <c r="AA10" s="36">
        <f t="shared" si="11"/>
        <v>2.3104649238818113E-2</v>
      </c>
      <c r="AB10" s="3">
        <v>3908383</v>
      </c>
      <c r="AC10" s="36">
        <f t="shared" si="12"/>
        <v>0.13411187691355772</v>
      </c>
      <c r="AD10" s="1" t="s">
        <v>56</v>
      </c>
      <c r="AE10" s="13" t="e">
        <f t="shared" si="13"/>
        <v>#VALUE!</v>
      </c>
      <c r="AF10" s="3">
        <v>1043439</v>
      </c>
      <c r="AG10" s="13">
        <f t="shared" si="14"/>
        <v>3.5804465103549413E-2</v>
      </c>
      <c r="AH10" s="3">
        <v>208448</v>
      </c>
      <c r="AI10" s="17">
        <f t="shared" si="15"/>
        <v>7.1526645466622081E-3</v>
      </c>
      <c r="AJ10" s="13">
        <v>0</v>
      </c>
      <c r="AK10" s="13">
        <v>0.76680000000000004</v>
      </c>
      <c r="AL10" s="3">
        <v>9982329</v>
      </c>
      <c r="AM10" s="3">
        <v>1428617</v>
      </c>
      <c r="AN10" s="1">
        <v>0</v>
      </c>
      <c r="AO10" s="3">
        <f t="shared" si="16"/>
        <v>1428617</v>
      </c>
      <c r="AP10" s="3">
        <v>2005823</v>
      </c>
      <c r="AQ10" s="13">
        <f t="shared" si="17"/>
        <v>0.34253267352729699</v>
      </c>
      <c r="AR10" s="13">
        <f t="shared" si="18"/>
        <v>0.39035861637408525</v>
      </c>
      <c r="AS10" s="3">
        <f t="shared" si="19"/>
        <v>326.57208754539209</v>
      </c>
      <c r="AT10" s="13">
        <f t="shared" si="20"/>
        <v>5.5866016382398999E-2</v>
      </c>
      <c r="AU10" s="13">
        <f t="shared" si="21"/>
        <v>5.5866016382398999E-2</v>
      </c>
      <c r="AV10" s="1">
        <f t="shared" si="22"/>
        <v>65.620538489220408</v>
      </c>
      <c r="AW10" s="53">
        <v>4100541</v>
      </c>
      <c r="AX10" s="54">
        <f t="shared" si="0"/>
        <v>40048722</v>
      </c>
      <c r="AY10" s="54">
        <v>40048722</v>
      </c>
      <c r="AZ10" s="55">
        <v>0</v>
      </c>
    </row>
    <row r="11" spans="1:52">
      <c r="A11" s="1">
        <v>2024</v>
      </c>
      <c r="B11" s="2">
        <v>30819</v>
      </c>
      <c r="C11" s="8">
        <v>32615291</v>
      </c>
      <c r="D11" s="3">
        <f t="shared" si="1"/>
        <v>1058.2851812193776</v>
      </c>
      <c r="E11" s="3">
        <v>26991733</v>
      </c>
      <c r="F11" s="3">
        <f t="shared" si="2"/>
        <v>875.81469223530939</v>
      </c>
      <c r="G11" s="3">
        <v>1875598</v>
      </c>
      <c r="H11" s="58">
        <v>5998000</v>
      </c>
      <c r="I11" s="3">
        <v>1000000</v>
      </c>
      <c r="J11" s="3">
        <v>11046000</v>
      </c>
      <c r="K11" s="60">
        <f t="shared" si="3"/>
        <v>0.40923641323808291</v>
      </c>
      <c r="L11" s="3">
        <v>19078883</v>
      </c>
      <c r="M11" s="13">
        <f t="shared" si="4"/>
        <v>0.5849674313805755</v>
      </c>
      <c r="N11" s="3">
        <v>1253649</v>
      </c>
      <c r="O11" s="13">
        <f t="shared" si="5"/>
        <v>3.8437461741488065E-2</v>
      </c>
      <c r="P11" s="3">
        <v>517524</v>
      </c>
      <c r="Q11" s="36">
        <f t="shared" si="6"/>
        <v>1.5867526676367844E-2</v>
      </c>
      <c r="R11" s="3">
        <v>512261</v>
      </c>
      <c r="S11" s="36">
        <f t="shared" si="7"/>
        <v>1.5706160647163934E-2</v>
      </c>
      <c r="T11" s="3">
        <v>2587206</v>
      </c>
      <c r="U11" s="13">
        <f t="shared" si="8"/>
        <v>7.9324939949179052E-2</v>
      </c>
      <c r="V11" s="3">
        <v>263644</v>
      </c>
      <c r="W11" s="13">
        <f t="shared" si="9"/>
        <v>8.0834477300846409E-3</v>
      </c>
      <c r="X11" s="3">
        <v>49387</v>
      </c>
      <c r="Y11" s="13">
        <f t="shared" si="10"/>
        <v>1.514228402867845E-3</v>
      </c>
      <c r="Z11" s="3">
        <v>2017988</v>
      </c>
      <c r="AA11" s="36">
        <f t="shared" si="11"/>
        <v>6.1872451176351609E-2</v>
      </c>
      <c r="AB11" s="3">
        <v>5647997</v>
      </c>
      <c r="AC11" s="36">
        <f t="shared" si="12"/>
        <v>0.1731702163871541</v>
      </c>
      <c r="AD11" s="1" t="s">
        <v>56</v>
      </c>
      <c r="AE11" s="13" t="e">
        <f t="shared" si="13"/>
        <v>#VALUE!</v>
      </c>
      <c r="AF11" s="3">
        <v>617256</v>
      </c>
      <c r="AG11" s="13">
        <f t="shared" si="14"/>
        <v>1.8925356207921004E-2</v>
      </c>
      <c r="AH11" s="3">
        <v>69496</v>
      </c>
      <c r="AI11" s="17">
        <f t="shared" si="15"/>
        <v>2.1307797008464527E-3</v>
      </c>
      <c r="AJ11" s="13">
        <v>0</v>
      </c>
      <c r="AK11" s="13">
        <v>0.7621</v>
      </c>
      <c r="AL11" s="3">
        <v>11305154</v>
      </c>
      <c r="AM11" s="3">
        <v>2391386</v>
      </c>
      <c r="AN11" s="1">
        <v>0</v>
      </c>
      <c r="AO11" s="3">
        <f t="shared" si="16"/>
        <v>2391386</v>
      </c>
      <c r="AP11" s="3">
        <v>2090712</v>
      </c>
      <c r="AQ11" s="13">
        <f t="shared" si="17"/>
        <v>0.34662128263703057</v>
      </c>
      <c r="AR11" s="13">
        <f t="shared" si="18"/>
        <v>0.41883764929061801</v>
      </c>
      <c r="AS11" s="3">
        <f t="shared" si="19"/>
        <v>366.82416691002305</v>
      </c>
      <c r="AT11" s="13">
        <f t="shared" si="20"/>
        <v>8.8596978934253681E-2</v>
      </c>
      <c r="AU11" s="13">
        <f t="shared" si="21"/>
        <v>8.8596978934253681E-2</v>
      </c>
      <c r="AV11" s="1">
        <f t="shared" si="22"/>
        <v>67.838411369609659</v>
      </c>
      <c r="AW11" s="53">
        <v>4956898</v>
      </c>
      <c r="AX11" s="54">
        <f t="shared" si="0"/>
        <v>48172175</v>
      </c>
      <c r="AY11" s="54">
        <v>48172175</v>
      </c>
      <c r="AZ11" s="55">
        <v>0</v>
      </c>
    </row>
    <row r="12" spans="1:52">
      <c r="A12" s="1">
        <v>2025</v>
      </c>
      <c r="B12" s="2">
        <v>31110</v>
      </c>
      <c r="C12" s="8">
        <v>35035753</v>
      </c>
      <c r="D12" s="3">
        <f t="shared" si="1"/>
        <v>1126.189424622308</v>
      </c>
      <c r="E12" s="3">
        <v>29140679</v>
      </c>
      <c r="F12" s="3">
        <f t="shared" si="2"/>
        <v>936.69813564770175</v>
      </c>
      <c r="G12" s="3">
        <v>4297168</v>
      </c>
      <c r="H12" s="58">
        <v>7920406</v>
      </c>
      <c r="I12" s="3">
        <v>1000000</v>
      </c>
      <c r="J12" s="3">
        <v>11804213</v>
      </c>
      <c r="K12" s="60">
        <f t="shared" si="3"/>
        <v>0.40507680002926494</v>
      </c>
      <c r="L12" s="3">
        <v>20224218</v>
      </c>
      <c r="M12" s="13">
        <f t="shared" si="4"/>
        <v>0.5772451358473728</v>
      </c>
      <c r="N12" s="3">
        <v>1321791</v>
      </c>
      <c r="O12" s="13">
        <f t="shared" si="5"/>
        <v>3.7726918556595601E-2</v>
      </c>
      <c r="P12" s="3">
        <v>706834</v>
      </c>
      <c r="Q12" s="36">
        <f t="shared" si="6"/>
        <v>2.0174648451254922E-2</v>
      </c>
      <c r="R12" s="3">
        <v>514454</v>
      </c>
      <c r="S12" s="36">
        <f t="shared" si="7"/>
        <v>1.4683686119148061E-2</v>
      </c>
      <c r="T12" s="3">
        <v>1570815</v>
      </c>
      <c r="U12" s="13">
        <f t="shared" si="8"/>
        <v>4.4834629357045644E-2</v>
      </c>
      <c r="V12" s="3">
        <v>229864</v>
      </c>
      <c r="W12" s="13">
        <f t="shared" si="9"/>
        <v>6.5608408644734998E-3</v>
      </c>
      <c r="X12" s="3">
        <v>52364</v>
      </c>
      <c r="Y12" s="13">
        <f t="shared" si="10"/>
        <v>1.4945875431876688E-3</v>
      </c>
      <c r="Z12" s="3">
        <v>2049700</v>
      </c>
      <c r="AA12" s="36">
        <f t="shared" si="11"/>
        <v>5.8503095395152492E-2</v>
      </c>
      <c r="AB12" s="3">
        <v>7515400</v>
      </c>
      <c r="AC12" s="36">
        <f t="shared" si="12"/>
        <v>0.21450659273685369</v>
      </c>
      <c r="AD12" s="1" t="s">
        <v>56</v>
      </c>
      <c r="AE12" s="13" t="e">
        <f t="shared" si="13"/>
        <v>#VALUE!</v>
      </c>
      <c r="AF12" s="3">
        <v>761885</v>
      </c>
      <c r="AG12" s="13">
        <f t="shared" si="14"/>
        <v>2.1745929079931576E-2</v>
      </c>
      <c r="AH12" s="3">
        <v>88428</v>
      </c>
      <c r="AI12" s="17">
        <f t="shared" si="15"/>
        <v>2.5239360489840192E-3</v>
      </c>
      <c r="AJ12" s="13">
        <v>0</v>
      </c>
      <c r="AK12" s="13">
        <v>0.78080000000000005</v>
      </c>
      <c r="AL12" s="3">
        <v>10167210</v>
      </c>
      <c r="AM12" s="3">
        <v>2202990</v>
      </c>
      <c r="AN12" s="1">
        <v>0</v>
      </c>
      <c r="AO12" s="3">
        <f t="shared" si="16"/>
        <v>2202990</v>
      </c>
      <c r="AP12" s="3">
        <v>1861246</v>
      </c>
      <c r="AQ12" s="13">
        <f t="shared" si="17"/>
        <v>0.29019527566597469</v>
      </c>
      <c r="AR12" s="13">
        <f t="shared" si="18"/>
        <v>0.34890092986508653</v>
      </c>
      <c r="AS12" s="3">
        <f t="shared" si="19"/>
        <v>326.81485053037608</v>
      </c>
      <c r="AT12" s="13">
        <f t="shared" si="20"/>
        <v>7.5598444360201758E-2</v>
      </c>
      <c r="AU12" s="13">
        <f t="shared" si="21"/>
        <v>7.5598444360201758E-2</v>
      </c>
      <c r="AV12" s="1">
        <f t="shared" si="22"/>
        <v>59.827900996464159</v>
      </c>
      <c r="AW12" s="53">
        <v>6180807</v>
      </c>
      <c r="AX12" s="54">
        <f>AY12+AZ12</f>
        <v>52202648</v>
      </c>
      <c r="AY12" s="54">
        <v>52202648</v>
      </c>
      <c r="AZ12" s="55">
        <v>0</v>
      </c>
    </row>
  </sheetData>
  <mergeCells count="5">
    <mergeCell ref="C1:G1"/>
    <mergeCell ref="J1:K1"/>
    <mergeCell ref="L1:AI1"/>
    <mergeCell ref="AW1:AZ1"/>
    <mergeCell ref="AK1:AV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BEDD-F9FB-4CFC-9292-09D28297FF89}">
  <sheetPr>
    <tabColor rgb="FFFFC000"/>
  </sheetPr>
  <dimension ref="A1:AW21"/>
  <sheetViews>
    <sheetView topLeftCell="AM1" workbookViewId="0">
      <selection activeCell="AU3" sqref="AU3:AU12"/>
    </sheetView>
  </sheetViews>
  <sheetFormatPr defaultRowHeight="15" customHeight="1"/>
  <cols>
    <col min="2" max="2" width="10.140625" customWidth="1"/>
    <col min="3" max="3" width="16.28515625" customWidth="1"/>
    <col min="4" max="4" width="16.5703125" customWidth="1"/>
    <col min="5" max="5" width="19.140625" customWidth="1"/>
    <col min="6" max="6" width="19.5703125" customWidth="1"/>
    <col min="7" max="7" width="18.140625" customWidth="1"/>
    <col min="8" max="12" width="14.42578125" customWidth="1"/>
    <col min="13" max="13" width="14.85546875" customWidth="1"/>
    <col min="15" max="15" width="13.42578125" customWidth="1"/>
    <col min="16" max="16" width="12.7109375" customWidth="1"/>
    <col min="17" max="17" width="16" customWidth="1"/>
    <col min="18" max="18" width="13.7109375" customWidth="1"/>
    <col min="19" max="19" width="17.5703125" customWidth="1"/>
    <col min="21" max="21" width="19.85546875" customWidth="1"/>
    <col min="22" max="22" width="13.5703125" customWidth="1"/>
    <col min="23" max="23" width="15.28515625" customWidth="1"/>
    <col min="24" max="25" width="16" customWidth="1"/>
    <col min="26" max="26" width="15.42578125" customWidth="1"/>
    <col min="27" max="27" width="13.42578125" customWidth="1"/>
    <col min="28" max="28" width="13.140625" customWidth="1"/>
    <col min="29" max="29" width="16.140625" customWidth="1"/>
    <col min="30" max="30" width="13.140625" customWidth="1"/>
    <col min="31" max="31" width="15.7109375" customWidth="1"/>
    <col min="33" max="33" width="12.42578125" customWidth="1"/>
    <col min="34" max="34" width="14.140625" customWidth="1"/>
    <col min="35" max="35" width="19.5703125" customWidth="1"/>
    <col min="36" max="36" width="18.85546875" customWidth="1"/>
    <col min="37" max="37" width="16.140625" customWidth="1"/>
    <col min="38" max="38" width="17.140625" customWidth="1"/>
    <col min="39" max="39" width="14.42578125" customWidth="1"/>
    <col min="40" max="41" width="17.85546875" customWidth="1"/>
    <col min="42" max="42" width="13.42578125" customWidth="1"/>
    <col min="43" max="43" width="15.140625" customWidth="1"/>
    <col min="44" max="44" width="16.7109375" customWidth="1"/>
    <col min="45" max="45" width="15" customWidth="1"/>
    <col min="46" max="46" width="14.85546875" customWidth="1"/>
    <col min="47" max="47" width="14.5703125" customWidth="1"/>
    <col min="48" max="48" width="17.140625" customWidth="1"/>
    <col min="49" max="49" width="16.85546875" customWidth="1"/>
  </cols>
  <sheetData>
    <row r="1" spans="1:49">
      <c r="C1" s="102" t="s">
        <v>0</v>
      </c>
      <c r="D1" s="103"/>
      <c r="E1" s="103"/>
      <c r="F1" s="103"/>
      <c r="G1" s="103"/>
      <c r="H1" s="104"/>
      <c r="I1" s="102" t="s">
        <v>57</v>
      </c>
      <c r="J1" s="103"/>
      <c r="K1" s="103"/>
      <c r="L1" s="105"/>
      <c r="M1" s="100" t="s">
        <v>2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2" t="s">
        <v>3</v>
      </c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4"/>
      <c r="AT1" s="103" t="s">
        <v>4</v>
      </c>
      <c r="AU1" s="103"/>
      <c r="AV1" s="103"/>
      <c r="AW1" s="104"/>
    </row>
    <row r="2" spans="1:49" s="29" customFormat="1" ht="43.5" customHeight="1">
      <c r="A2" s="26" t="s">
        <v>5</v>
      </c>
      <c r="B2" s="26" t="s">
        <v>6</v>
      </c>
      <c r="C2" s="67" t="s">
        <v>7</v>
      </c>
      <c r="D2" s="28" t="s">
        <v>72</v>
      </c>
      <c r="E2" s="28" t="s">
        <v>73</v>
      </c>
      <c r="F2" s="28" t="s">
        <v>74</v>
      </c>
      <c r="G2" s="28" t="s">
        <v>11</v>
      </c>
      <c r="H2" s="68" t="s">
        <v>75</v>
      </c>
      <c r="I2" s="28" t="s">
        <v>12</v>
      </c>
      <c r="J2" s="28" t="s">
        <v>76</v>
      </c>
      <c r="K2" s="69" t="s">
        <v>14</v>
      </c>
      <c r="L2" s="70" t="s">
        <v>15</v>
      </c>
      <c r="M2" s="28" t="s">
        <v>16</v>
      </c>
      <c r="N2" s="28" t="s">
        <v>17</v>
      </c>
      <c r="O2" s="28" t="s">
        <v>28</v>
      </c>
      <c r="P2" s="28" t="s">
        <v>77</v>
      </c>
      <c r="Q2" s="28" t="s">
        <v>78</v>
      </c>
      <c r="R2" s="28" t="s">
        <v>19</v>
      </c>
      <c r="S2" s="28" t="s">
        <v>79</v>
      </c>
      <c r="T2" s="28" t="s">
        <v>80</v>
      </c>
      <c r="U2" s="28" t="s">
        <v>81</v>
      </c>
      <c r="V2" s="28" t="s">
        <v>82</v>
      </c>
      <c r="W2" s="28" t="s">
        <v>83</v>
      </c>
      <c r="X2" s="28" t="s">
        <v>84</v>
      </c>
      <c r="Y2" s="28" t="s">
        <v>67</v>
      </c>
      <c r="Z2" s="28" t="s">
        <v>85</v>
      </c>
      <c r="AA2" s="28" t="s">
        <v>30</v>
      </c>
      <c r="AB2" s="28" t="s">
        <v>31</v>
      </c>
      <c r="AC2" s="28" t="s">
        <v>86</v>
      </c>
      <c r="AD2" s="28" t="s">
        <v>87</v>
      </c>
      <c r="AE2" s="28" t="s">
        <v>36</v>
      </c>
      <c r="AF2" s="28" t="s">
        <v>37</v>
      </c>
      <c r="AG2" s="67" t="s">
        <v>38</v>
      </c>
      <c r="AH2" s="28" t="s">
        <v>39</v>
      </c>
      <c r="AI2" s="27" t="s">
        <v>40</v>
      </c>
      <c r="AJ2" s="27" t="s">
        <v>41</v>
      </c>
      <c r="AK2" s="27" t="s">
        <v>42</v>
      </c>
      <c r="AL2" s="27" t="s">
        <v>43</v>
      </c>
      <c r="AM2" s="27" t="s">
        <v>44</v>
      </c>
      <c r="AN2" s="27" t="s">
        <v>45</v>
      </c>
      <c r="AO2" s="27" t="s">
        <v>46</v>
      </c>
      <c r="AP2" s="27" t="s">
        <v>47</v>
      </c>
      <c r="AQ2" s="27" t="s">
        <v>71</v>
      </c>
      <c r="AR2" s="27" t="s">
        <v>49</v>
      </c>
      <c r="AS2" s="79" t="s">
        <v>51</v>
      </c>
      <c r="AT2" s="76" t="s">
        <v>88</v>
      </c>
      <c r="AU2" s="76" t="s">
        <v>53</v>
      </c>
      <c r="AV2" s="76" t="s">
        <v>54</v>
      </c>
      <c r="AW2" s="77" t="s">
        <v>55</v>
      </c>
    </row>
    <row r="3" spans="1:49">
      <c r="A3">
        <v>2016</v>
      </c>
      <c r="B3" s="2">
        <v>42584</v>
      </c>
      <c r="C3" s="58">
        <v>48417702</v>
      </c>
      <c r="D3" s="3">
        <f>C3/B3</f>
        <v>1136.9928142025174</v>
      </c>
      <c r="E3" s="3">
        <v>42042571</v>
      </c>
      <c r="F3" s="3">
        <f>E3/B3</f>
        <v>987.28562370843508</v>
      </c>
      <c r="G3" s="3">
        <v>4675614</v>
      </c>
      <c r="H3" s="66">
        <f>G3/B3</f>
        <v>109.79743565658464</v>
      </c>
      <c r="I3" s="3">
        <v>3830100</v>
      </c>
      <c r="J3" s="3">
        <v>25392112</v>
      </c>
      <c r="K3" s="3">
        <v>1000000</v>
      </c>
      <c r="L3" s="30">
        <f t="shared" ref="L3:L12" si="0">K3/E3</f>
        <v>2.3785415026117217E-2</v>
      </c>
      <c r="M3" s="3">
        <v>12097447</v>
      </c>
      <c r="N3" s="13">
        <f>M3/C3</f>
        <v>0.24985586883078426</v>
      </c>
      <c r="O3" s="3">
        <v>324137</v>
      </c>
      <c r="P3" s="13">
        <f>O3/C3</f>
        <v>6.6945969472074493E-3</v>
      </c>
      <c r="Q3" s="3">
        <v>14818447</v>
      </c>
      <c r="R3" s="13">
        <f>Q3/C3</f>
        <v>0.30605432285902373</v>
      </c>
      <c r="S3" s="3">
        <v>9344440</v>
      </c>
      <c r="T3" s="13">
        <f>S3/C3</f>
        <v>0.19299635492820374</v>
      </c>
      <c r="U3" s="3">
        <v>4890190</v>
      </c>
      <c r="V3" s="13">
        <f>U3/C3</f>
        <v>0.1010000433312593</v>
      </c>
      <c r="W3" s="3">
        <v>253576</v>
      </c>
      <c r="X3" s="13">
        <f>W3/C3</f>
        <v>5.2372580590462556E-3</v>
      </c>
      <c r="Y3" s="3">
        <v>3600024</v>
      </c>
      <c r="Z3" s="13">
        <f>Y3/C3</f>
        <v>7.4353466837397617E-2</v>
      </c>
      <c r="AA3" s="3">
        <v>161163</v>
      </c>
      <c r="AB3" s="13">
        <f>AA3/C3</f>
        <v>3.3285966359989576E-3</v>
      </c>
      <c r="AC3" s="3">
        <v>2746371</v>
      </c>
      <c r="AD3" s="13">
        <f>AC3/C3</f>
        <v>5.6722456592425641E-2</v>
      </c>
      <c r="AE3" s="3">
        <v>181859</v>
      </c>
      <c r="AF3" s="13">
        <f>AE3/C3</f>
        <v>3.7560436057043766E-3</v>
      </c>
      <c r="AG3" s="65">
        <v>0.77969999999999995</v>
      </c>
      <c r="AH3" s="80">
        <v>0.48609999999999998</v>
      </c>
      <c r="AI3" s="3">
        <v>41832871</v>
      </c>
      <c r="AJ3" s="3">
        <v>1811356</v>
      </c>
      <c r="AK3" s="3">
        <v>2610566</v>
      </c>
      <c r="AL3" s="3">
        <f>AJ3+AK3</f>
        <v>4421922</v>
      </c>
      <c r="AM3" s="3">
        <v>1674751</v>
      </c>
      <c r="AN3" s="13">
        <f>AI3/C3</f>
        <v>0.86399951406202635</v>
      </c>
      <c r="AO3" s="13">
        <f>AI3/E3</f>
        <v>0.99501219846902322</v>
      </c>
      <c r="AP3" s="3">
        <f>AI3/B3</f>
        <v>982.3612389629908</v>
      </c>
      <c r="AQ3" s="13">
        <f>AL3/E3</f>
        <v>0.1051772499831183</v>
      </c>
      <c r="AR3" s="13">
        <f>AJ3/E3</f>
        <v>4.3083854220047582E-2</v>
      </c>
      <c r="AS3" s="66">
        <f>AM3/B3</f>
        <v>39.328174901371405</v>
      </c>
      <c r="AT3" s="81">
        <f>46516872-AU3</f>
        <v>878813</v>
      </c>
      <c r="AU3" s="54">
        <v>45638059</v>
      </c>
      <c r="AV3" s="54">
        <v>37821184</v>
      </c>
      <c r="AW3" s="78">
        <f>AU3-AV3</f>
        <v>7816875</v>
      </c>
    </row>
    <row r="4" spans="1:49">
      <c r="A4">
        <v>2017</v>
      </c>
      <c r="B4" s="2">
        <v>42726</v>
      </c>
      <c r="C4" s="58">
        <v>48011214</v>
      </c>
      <c r="D4" s="3">
        <f t="shared" ref="D4:D12" si="1">C4/B4</f>
        <v>1123.7001825586294</v>
      </c>
      <c r="E4" s="3">
        <v>45961306</v>
      </c>
      <c r="F4" s="3">
        <f t="shared" ref="F4:F12" si="2">E4/B4</f>
        <v>1075.722183213968</v>
      </c>
      <c r="G4" s="3">
        <v>2487393</v>
      </c>
      <c r="H4" s="66">
        <f t="shared" ref="H4:H12" si="3">G4/B4</f>
        <v>58.217314983850585</v>
      </c>
      <c r="I4" s="3">
        <v>4027890</v>
      </c>
      <c r="J4" s="3">
        <v>23896221</v>
      </c>
      <c r="K4" s="3">
        <v>999994</v>
      </c>
      <c r="L4" s="30">
        <f t="shared" si="0"/>
        <v>2.1757301674586879E-2</v>
      </c>
      <c r="M4" s="3">
        <v>13052321</v>
      </c>
      <c r="N4" s="13">
        <f t="shared" ref="N4:N12" si="4">M4/C4</f>
        <v>0.27185984091133375</v>
      </c>
      <c r="O4" s="3">
        <v>320193</v>
      </c>
      <c r="P4" s="13">
        <f t="shared" ref="P4:P12" si="5">O4/C4</f>
        <v>6.6691294246381686E-3</v>
      </c>
      <c r="Q4" s="3">
        <v>14297751</v>
      </c>
      <c r="R4" s="13">
        <f t="shared" ref="R4:R12" si="6">Q4/C4</f>
        <v>0.2978002389191825</v>
      </c>
      <c r="S4" s="3">
        <v>9279306</v>
      </c>
      <c r="T4" s="13">
        <f t="shared" ref="T4:T12" si="7">S4/C4</f>
        <v>0.19327372142683166</v>
      </c>
      <c r="U4" s="3">
        <v>3873976</v>
      </c>
      <c r="V4" s="13">
        <f t="shared" ref="V4:V12" si="8">U4/C4</f>
        <v>8.0688982369827189E-2</v>
      </c>
      <c r="W4" s="3">
        <v>191665</v>
      </c>
      <c r="X4" s="13">
        <f t="shared" ref="X4:X12" si="9">W4/C4</f>
        <v>3.9920881817318765E-3</v>
      </c>
      <c r="Y4" s="3">
        <v>3743089</v>
      </c>
      <c r="Z4" s="13">
        <f t="shared" ref="Z4:Z12" si="10">Y4/C4</f>
        <v>7.796280677260109E-2</v>
      </c>
      <c r="AA4" s="3">
        <v>171220</v>
      </c>
      <c r="AB4" s="13">
        <f t="shared" ref="AB4:AB12" si="11">AA4/C4</f>
        <v>3.5662501681378023E-3</v>
      </c>
      <c r="AC4" s="3">
        <v>2829484</v>
      </c>
      <c r="AD4" s="13">
        <f t="shared" ref="AD4:AD12" si="12">AC4/C4</f>
        <v>5.8933814920822454E-2</v>
      </c>
      <c r="AE4" s="3">
        <v>252209</v>
      </c>
      <c r="AF4" s="13">
        <f t="shared" ref="AF4:AF12" si="13">AE4/C4</f>
        <v>5.2531269048935111E-3</v>
      </c>
      <c r="AG4" s="65">
        <v>0.73799999999999999</v>
      </c>
      <c r="AH4" s="80">
        <v>0.50219999999999998</v>
      </c>
      <c r="AI4" s="3">
        <v>50745930</v>
      </c>
      <c r="AJ4" s="3">
        <v>2168070</v>
      </c>
      <c r="AK4" s="3">
        <v>2928596</v>
      </c>
      <c r="AL4" s="3">
        <f t="shared" ref="AL4:AL12" si="14">AJ4+AK4</f>
        <v>5096666</v>
      </c>
      <c r="AM4" s="3">
        <v>1717261</v>
      </c>
      <c r="AN4" s="13">
        <f>AI4/C4</f>
        <v>1.0569599427333789</v>
      </c>
      <c r="AO4" s="13">
        <f>AI4/E4</f>
        <v>1.1041011323742629</v>
      </c>
      <c r="AP4" s="3">
        <f>AI4/B4</f>
        <v>1187.7060806066563</v>
      </c>
      <c r="AQ4" s="13">
        <f>AL4/E4</f>
        <v>0.11089036503880025</v>
      </c>
      <c r="AR4" s="13">
        <f>AJ4/E4</f>
        <v>4.7171636071438004E-2</v>
      </c>
      <c r="AS4" s="66">
        <f>AM4/B4</f>
        <v>40.19241211440341</v>
      </c>
      <c r="AT4" s="81">
        <f>44930352-AU4</f>
        <v>-184250</v>
      </c>
      <c r="AU4" s="54">
        <v>45114602</v>
      </c>
      <c r="AV4" s="54">
        <v>30180750</v>
      </c>
      <c r="AW4" s="78">
        <f>AU4-AV4</f>
        <v>14933852</v>
      </c>
    </row>
    <row r="5" spans="1:49">
      <c r="A5">
        <v>2018</v>
      </c>
      <c r="B5" s="2">
        <v>42696</v>
      </c>
      <c r="C5" s="58">
        <v>49686816</v>
      </c>
      <c r="D5" s="3">
        <f t="shared" si="1"/>
        <v>1163.7346824058459</v>
      </c>
      <c r="E5" s="3">
        <v>47625009</v>
      </c>
      <c r="F5" s="3">
        <f t="shared" si="2"/>
        <v>1115.44428049466</v>
      </c>
      <c r="G5" s="3">
        <v>4878204</v>
      </c>
      <c r="H5" s="66">
        <f t="shared" si="3"/>
        <v>114.25435637998876</v>
      </c>
      <c r="I5" s="3">
        <v>4528546</v>
      </c>
      <c r="J5" s="3">
        <v>21592089</v>
      </c>
      <c r="K5" s="3">
        <v>360129</v>
      </c>
      <c r="L5" s="30">
        <f t="shared" si="0"/>
        <v>7.5617623505330987E-3</v>
      </c>
      <c r="M5" s="3">
        <v>14037856</v>
      </c>
      <c r="N5" s="13">
        <f t="shared" si="4"/>
        <v>0.28252677732459253</v>
      </c>
      <c r="O5" s="3">
        <v>345627</v>
      </c>
      <c r="P5" s="13">
        <f t="shared" si="5"/>
        <v>6.9561108524241119E-3</v>
      </c>
      <c r="Q5" s="3">
        <v>14859014</v>
      </c>
      <c r="R5" s="13">
        <f t="shared" si="6"/>
        <v>0.29905345514592846</v>
      </c>
      <c r="S5" s="3">
        <v>9698919</v>
      </c>
      <c r="T5" s="13">
        <f t="shared" si="7"/>
        <v>0.19520105695643689</v>
      </c>
      <c r="U5" s="3">
        <v>3214847</v>
      </c>
      <c r="V5" s="13">
        <f t="shared" si="8"/>
        <v>6.4702213963559269E-2</v>
      </c>
      <c r="W5" s="3">
        <v>243496</v>
      </c>
      <c r="X5" s="13">
        <f t="shared" si="9"/>
        <v>4.9006158897362227E-3</v>
      </c>
      <c r="Y5" s="3">
        <v>3968561</v>
      </c>
      <c r="Z5" s="13">
        <f t="shared" si="10"/>
        <v>7.9871509577107938E-2</v>
      </c>
      <c r="AA5" s="3">
        <v>180905</v>
      </c>
      <c r="AB5" s="13">
        <f t="shared" si="11"/>
        <v>3.6409054667539977E-3</v>
      </c>
      <c r="AC5" s="3">
        <v>2845241</v>
      </c>
      <c r="AD5" s="13">
        <f t="shared" si="12"/>
        <v>5.7263500241190743E-2</v>
      </c>
      <c r="AE5" s="3">
        <v>292350</v>
      </c>
      <c r="AF5" s="13">
        <f t="shared" si="13"/>
        <v>5.8838545822698721E-3</v>
      </c>
      <c r="AG5" s="65">
        <v>0.72289999999999999</v>
      </c>
      <c r="AH5" s="80">
        <v>0.51459999999999995</v>
      </c>
      <c r="AI5" s="3">
        <v>58035187</v>
      </c>
      <c r="AJ5" s="3">
        <v>2424792</v>
      </c>
      <c r="AK5" s="3">
        <v>3180698</v>
      </c>
      <c r="AL5" s="3">
        <f t="shared" si="14"/>
        <v>5605490</v>
      </c>
      <c r="AM5" s="3">
        <v>5220264</v>
      </c>
      <c r="AN5" s="13">
        <f>AI5/C5</f>
        <v>1.168019842527241</v>
      </c>
      <c r="AO5" s="13">
        <f>AI5/E5</f>
        <v>1.2185863733905016</v>
      </c>
      <c r="AP5" s="3">
        <f>AI5/B5</f>
        <v>1359.265200487165</v>
      </c>
      <c r="AQ5" s="13">
        <f>AL5/E5</f>
        <v>0.11770055518519693</v>
      </c>
      <c r="AR5" s="13">
        <f>AJ5/E5</f>
        <v>5.0914258094943349E-2</v>
      </c>
      <c r="AS5" s="66">
        <f>AM5/B5</f>
        <v>122.26587970770096</v>
      </c>
      <c r="AT5" s="81">
        <f>43820241-AU5</f>
        <v>-30064</v>
      </c>
      <c r="AU5" s="54">
        <v>43850305</v>
      </c>
      <c r="AV5" s="54">
        <v>20228924</v>
      </c>
      <c r="AW5" s="78">
        <f>AU5-AV5</f>
        <v>23621381</v>
      </c>
    </row>
    <row r="6" spans="1:49">
      <c r="A6" s="1">
        <v>2019</v>
      </c>
      <c r="B6" s="2">
        <v>43250</v>
      </c>
      <c r="C6" s="58">
        <v>53069867</v>
      </c>
      <c r="D6" s="3">
        <f t="shared" si="1"/>
        <v>1227.0489479768787</v>
      </c>
      <c r="E6" s="3">
        <v>49510829</v>
      </c>
      <c r="F6" s="3">
        <f t="shared" si="2"/>
        <v>1144.7590520231213</v>
      </c>
      <c r="G6" s="3">
        <v>2103720</v>
      </c>
      <c r="H6" s="66">
        <f t="shared" si="3"/>
        <v>48.640924855491328</v>
      </c>
      <c r="I6" s="3">
        <v>4257115</v>
      </c>
      <c r="J6" s="3">
        <v>21743948</v>
      </c>
      <c r="K6" s="3">
        <v>1026759</v>
      </c>
      <c r="L6" s="30">
        <f t="shared" si="0"/>
        <v>2.0738069241377478E-2</v>
      </c>
      <c r="M6" s="3">
        <v>15646867</v>
      </c>
      <c r="N6" s="13">
        <f t="shared" si="4"/>
        <v>0.29483524049532667</v>
      </c>
      <c r="O6" s="3">
        <v>704030</v>
      </c>
      <c r="P6" s="13">
        <f t="shared" si="5"/>
        <v>1.3266096935950489E-2</v>
      </c>
      <c r="Q6" s="3">
        <v>15684222</v>
      </c>
      <c r="R6" s="13">
        <f t="shared" si="6"/>
        <v>0.29553912392507031</v>
      </c>
      <c r="S6" s="3">
        <v>9539163</v>
      </c>
      <c r="T6" s="13">
        <f t="shared" si="7"/>
        <v>0.17974725657405549</v>
      </c>
      <c r="U6" s="3">
        <v>3232524</v>
      </c>
      <c r="V6" s="13">
        <f t="shared" si="8"/>
        <v>6.0910723593861654E-2</v>
      </c>
      <c r="W6" s="3">
        <v>307567</v>
      </c>
      <c r="X6" s="13">
        <f t="shared" si="9"/>
        <v>5.7955110383072937E-3</v>
      </c>
      <c r="Y6" s="3">
        <v>3730189</v>
      </c>
      <c r="Z6" s="13">
        <f t="shared" si="10"/>
        <v>7.0288267351414316E-2</v>
      </c>
      <c r="AA6" s="3">
        <v>998446</v>
      </c>
      <c r="AB6" s="13">
        <f t="shared" si="11"/>
        <v>1.8813802567095184E-2</v>
      </c>
      <c r="AC6" s="3">
        <v>2949774</v>
      </c>
      <c r="AD6" s="13">
        <f t="shared" si="12"/>
        <v>5.5582841389069243E-2</v>
      </c>
      <c r="AE6" s="3">
        <v>277085</v>
      </c>
      <c r="AF6" s="13">
        <f t="shared" si="13"/>
        <v>5.2211361298493547E-3</v>
      </c>
      <c r="AG6" s="65">
        <v>0.74439999999999995</v>
      </c>
      <c r="AH6" s="80">
        <v>0.57789999999999997</v>
      </c>
      <c r="AI6" s="3">
        <v>56275327</v>
      </c>
      <c r="AJ6" s="3">
        <v>2683458</v>
      </c>
      <c r="AK6" s="3">
        <v>3579757</v>
      </c>
      <c r="AL6" s="3">
        <f t="shared" si="14"/>
        <v>6263215</v>
      </c>
      <c r="AM6" s="3">
        <v>4283560</v>
      </c>
      <c r="AN6" s="13">
        <f>AI6/C6</f>
        <v>1.0604007543489793</v>
      </c>
      <c r="AO6" s="13">
        <f>AI6/E6</f>
        <v>1.1366266357608352</v>
      </c>
      <c r="AP6" s="3">
        <f>AI6/B6</f>
        <v>1301.1636300578034</v>
      </c>
      <c r="AQ6" s="13">
        <f>AL6/E6</f>
        <v>0.12650192142813849</v>
      </c>
      <c r="AR6" s="13">
        <f>AJ6/E6</f>
        <v>5.4199415647029459E-2</v>
      </c>
      <c r="AS6" s="66">
        <f>AM6/B6</f>
        <v>99.04184971098266</v>
      </c>
      <c r="AT6" s="81">
        <f>45034883-AU6</f>
        <v>-16106</v>
      </c>
      <c r="AU6" s="54">
        <v>45050989</v>
      </c>
      <c r="AV6" s="54">
        <v>27159327</v>
      </c>
      <c r="AW6" s="78">
        <f>AU6-AV6</f>
        <v>17891662</v>
      </c>
    </row>
    <row r="7" spans="1:49">
      <c r="A7" s="1">
        <v>2020</v>
      </c>
      <c r="B7" s="2">
        <v>42288</v>
      </c>
      <c r="C7" s="58">
        <v>49631995</v>
      </c>
      <c r="D7" s="3">
        <f t="shared" si="1"/>
        <v>1173.666170071888</v>
      </c>
      <c r="E7" s="3">
        <v>51423543</v>
      </c>
      <c r="F7" s="3">
        <f t="shared" si="2"/>
        <v>1216.0315692395006</v>
      </c>
      <c r="G7" s="3">
        <v>3878985</v>
      </c>
      <c r="H7" s="66">
        <f t="shared" si="3"/>
        <v>91.727795119182744</v>
      </c>
      <c r="I7" s="3">
        <v>3757823</v>
      </c>
      <c r="J7" s="3">
        <v>5192639</v>
      </c>
      <c r="K7" s="3">
        <v>13322046</v>
      </c>
      <c r="L7" s="30">
        <f t="shared" si="0"/>
        <v>0.25906511342479843</v>
      </c>
      <c r="M7" s="3">
        <v>17248696</v>
      </c>
      <c r="N7" s="13">
        <f t="shared" si="4"/>
        <v>0.34753178871814444</v>
      </c>
      <c r="O7" s="3">
        <v>694347</v>
      </c>
      <c r="P7" s="13">
        <f t="shared" si="5"/>
        <v>1.3989907115359759E-2</v>
      </c>
      <c r="Q7" s="3">
        <v>13493745</v>
      </c>
      <c r="R7" s="13">
        <f t="shared" si="6"/>
        <v>0.27187593406229188</v>
      </c>
      <c r="S7" s="3">
        <v>7962879</v>
      </c>
      <c r="T7" s="13">
        <f t="shared" si="7"/>
        <v>0.16043842283591461</v>
      </c>
      <c r="U7" s="3">
        <v>3714070</v>
      </c>
      <c r="V7" s="13">
        <f t="shared" si="8"/>
        <v>7.4832172271132757E-2</v>
      </c>
      <c r="W7" s="3">
        <v>525130</v>
      </c>
      <c r="X7" s="13">
        <f t="shared" si="9"/>
        <v>1.05804733418433E-2</v>
      </c>
      <c r="Y7" s="3">
        <v>2573117</v>
      </c>
      <c r="Z7" s="13">
        <f t="shared" si="10"/>
        <v>5.1843916409163082E-2</v>
      </c>
      <c r="AA7" s="3">
        <v>542847</v>
      </c>
      <c r="AB7" s="13">
        <f t="shared" si="11"/>
        <v>1.0937440656979434E-2</v>
      </c>
      <c r="AC7" s="3">
        <v>2554703</v>
      </c>
      <c r="AD7" s="13">
        <f t="shared" si="12"/>
        <v>5.1472905733489054E-2</v>
      </c>
      <c r="AE7" s="3">
        <v>322461</v>
      </c>
      <c r="AF7" s="13">
        <f t="shared" si="13"/>
        <v>6.4970388556817027E-3</v>
      </c>
      <c r="AG7" s="65">
        <v>0.73750000000000004</v>
      </c>
      <c r="AH7" s="80">
        <v>0.62870000000000004</v>
      </c>
      <c r="AI7" s="3">
        <v>59956038</v>
      </c>
      <c r="AJ7" s="3">
        <v>3062946</v>
      </c>
      <c r="AK7" s="3">
        <v>1828195</v>
      </c>
      <c r="AL7" s="3">
        <f t="shared" si="14"/>
        <v>4891141</v>
      </c>
      <c r="AM7" s="3">
        <v>3854727</v>
      </c>
      <c r="AN7" s="13">
        <f>AI7/C7</f>
        <v>1.2080118480024831</v>
      </c>
      <c r="AO7" s="13">
        <f>AI7/E7</f>
        <v>1.1659258483998274</v>
      </c>
      <c r="AP7" s="3">
        <f>AI7/B7</f>
        <v>1417.8026390465379</v>
      </c>
      <c r="AQ7" s="13">
        <f>AL7/E7</f>
        <v>9.5114819295901099E-2</v>
      </c>
      <c r="AR7" s="13">
        <f>AJ7/E7</f>
        <v>5.9563107116131615E-2</v>
      </c>
      <c r="AS7" s="66">
        <f>AM7/B7</f>
        <v>91.154157207718498</v>
      </c>
      <c r="AT7" s="81">
        <f>46121543-AU7</f>
        <v>2071876</v>
      </c>
      <c r="AU7" s="54">
        <v>44049667</v>
      </c>
      <c r="AV7" s="54">
        <v>37944421</v>
      </c>
      <c r="AW7" s="78">
        <f>AU7-AV7</f>
        <v>6105246</v>
      </c>
    </row>
    <row r="8" spans="1:49">
      <c r="A8" s="1">
        <v>2021</v>
      </c>
      <c r="B8" s="2">
        <v>41533</v>
      </c>
      <c r="C8" s="58">
        <v>49631995</v>
      </c>
      <c r="D8" s="3">
        <f t="shared" si="1"/>
        <v>1195.0014446343871</v>
      </c>
      <c r="E8" s="3">
        <v>51423543</v>
      </c>
      <c r="F8" s="3">
        <f t="shared" si="2"/>
        <v>1238.1369754171383</v>
      </c>
      <c r="G8" s="3">
        <v>12550723</v>
      </c>
      <c r="H8" s="66">
        <f t="shared" si="3"/>
        <v>302.18676714901403</v>
      </c>
      <c r="I8" s="3">
        <v>3643857</v>
      </c>
      <c r="J8" s="3">
        <v>4296174</v>
      </c>
      <c r="K8" s="3">
        <v>12976419</v>
      </c>
      <c r="L8" s="30">
        <f t="shared" si="0"/>
        <v>0.25234393126121241</v>
      </c>
      <c r="M8" s="3">
        <v>17950698</v>
      </c>
      <c r="N8" s="13">
        <f t="shared" si="4"/>
        <v>0.36167593101989959</v>
      </c>
      <c r="O8" s="3">
        <v>547469</v>
      </c>
      <c r="P8" s="13">
        <f t="shared" si="5"/>
        <v>1.1030566069326852E-2</v>
      </c>
      <c r="Q8" s="3">
        <v>14478163</v>
      </c>
      <c r="R8" s="13">
        <f t="shared" si="6"/>
        <v>0.29171027680833705</v>
      </c>
      <c r="S8" s="3">
        <v>6375526</v>
      </c>
      <c r="T8" s="13">
        <f t="shared" si="7"/>
        <v>0.12845596877578666</v>
      </c>
      <c r="U8" s="3">
        <v>4493838</v>
      </c>
      <c r="V8" s="13">
        <f t="shared" si="8"/>
        <v>9.0543166761682656E-2</v>
      </c>
      <c r="W8" s="3">
        <v>914806</v>
      </c>
      <c r="X8" s="13">
        <f t="shared" si="9"/>
        <v>1.8431779742079681E-2</v>
      </c>
      <c r="Y8" s="3">
        <v>1762593</v>
      </c>
      <c r="Z8" s="13">
        <f t="shared" si="10"/>
        <v>3.55132410051218E-2</v>
      </c>
      <c r="AA8" s="3">
        <v>-8137</v>
      </c>
      <c r="AB8" s="13">
        <f t="shared" si="11"/>
        <v>-1.6394666384053269E-4</v>
      </c>
      <c r="AC8" s="3">
        <v>1927211</v>
      </c>
      <c r="AD8" s="13">
        <f t="shared" si="12"/>
        <v>3.8830012777040297E-2</v>
      </c>
      <c r="AE8" s="3">
        <v>162023</v>
      </c>
      <c r="AF8" s="13">
        <f t="shared" si="13"/>
        <v>3.264486950403666E-3</v>
      </c>
      <c r="AG8" s="65">
        <v>0.72750000000000004</v>
      </c>
      <c r="AH8" s="80">
        <v>0.74750000000000005</v>
      </c>
      <c r="AI8" s="3">
        <v>64222161</v>
      </c>
      <c r="AJ8" s="3">
        <v>3446237</v>
      </c>
      <c r="AK8" s="3">
        <v>5202066</v>
      </c>
      <c r="AL8" s="3">
        <f t="shared" si="14"/>
        <v>8648303</v>
      </c>
      <c r="AM8" s="3">
        <v>3961740</v>
      </c>
      <c r="AN8" s="13">
        <f>AI8/C8</f>
        <v>1.2939669461201389</v>
      </c>
      <c r="AO8" s="13">
        <f>AI8/E8</f>
        <v>1.2488863515296875</v>
      </c>
      <c r="AP8" s="3">
        <f>AI8/B8</f>
        <v>1546.2923699227122</v>
      </c>
      <c r="AQ8" s="13">
        <f>AL8/E8</f>
        <v>0.16817789081549669</v>
      </c>
      <c r="AR8" s="13">
        <f>AJ8/E8</f>
        <v>6.7016716448339619E-2</v>
      </c>
      <c r="AS8" s="66">
        <f>AM8/B8</f>
        <v>95.387763946741146</v>
      </c>
      <c r="AT8" s="81">
        <f>59650447-AU8</f>
        <v>2682564</v>
      </c>
      <c r="AU8" s="54">
        <v>56967883</v>
      </c>
      <c r="AV8" s="54">
        <v>52927814</v>
      </c>
      <c r="AW8" s="78">
        <f>AU8-AV8</f>
        <v>4040069</v>
      </c>
    </row>
    <row r="9" spans="1:49">
      <c r="A9" s="1">
        <v>2022</v>
      </c>
      <c r="B9" s="2">
        <v>42833</v>
      </c>
      <c r="C9" s="58">
        <v>56432380</v>
      </c>
      <c r="D9" s="3">
        <f t="shared" si="1"/>
        <v>1317.4977237176943</v>
      </c>
      <c r="E9" s="3">
        <v>52025369</v>
      </c>
      <c r="F9" s="3">
        <f t="shared" si="2"/>
        <v>1214.6095066887681</v>
      </c>
      <c r="G9" s="3">
        <v>10624498</v>
      </c>
      <c r="H9" s="66">
        <f t="shared" si="3"/>
        <v>248.04468517264726</v>
      </c>
      <c r="I9" s="3">
        <v>3918437</v>
      </c>
      <c r="J9" s="3">
        <v>3482825</v>
      </c>
      <c r="K9" s="3">
        <v>14525529</v>
      </c>
      <c r="L9" s="30">
        <f t="shared" si="0"/>
        <v>0.27920088370733132</v>
      </c>
      <c r="M9" s="3">
        <v>19510782</v>
      </c>
      <c r="N9" s="13">
        <f t="shared" si="4"/>
        <v>0.34573735858739257</v>
      </c>
      <c r="O9" s="3">
        <v>222721</v>
      </c>
      <c r="P9" s="13">
        <f t="shared" si="5"/>
        <v>3.9466880539151461E-3</v>
      </c>
      <c r="Q9" s="3">
        <v>16419363</v>
      </c>
      <c r="R9" s="13">
        <f t="shared" si="6"/>
        <v>0.29095641544801054</v>
      </c>
      <c r="S9" s="3">
        <v>7894351</v>
      </c>
      <c r="T9" s="13">
        <f t="shared" si="7"/>
        <v>0.1398904494192873</v>
      </c>
      <c r="U9" s="3">
        <v>3742393</v>
      </c>
      <c r="V9" s="13">
        <f t="shared" si="8"/>
        <v>6.6316412669463878E-2</v>
      </c>
      <c r="W9" s="3">
        <v>985556</v>
      </c>
      <c r="X9" s="13">
        <f t="shared" si="9"/>
        <v>1.7464370632604899E-2</v>
      </c>
      <c r="Y9" s="3">
        <v>4843231</v>
      </c>
      <c r="Z9" s="13">
        <f t="shared" si="10"/>
        <v>8.5823617575583377E-2</v>
      </c>
      <c r="AA9" s="3">
        <v>-317035</v>
      </c>
      <c r="AB9" s="13">
        <f t="shared" si="11"/>
        <v>-5.6179625952334456E-3</v>
      </c>
      <c r="AC9" s="3">
        <v>2779743</v>
      </c>
      <c r="AD9" s="13">
        <f t="shared" si="12"/>
        <v>4.9257943754986058E-2</v>
      </c>
      <c r="AE9" s="3">
        <v>351275</v>
      </c>
      <c r="AF9" s="13">
        <f t="shared" si="13"/>
        <v>6.224706453989713E-3</v>
      </c>
      <c r="AG9" s="65">
        <v>0.8498</v>
      </c>
      <c r="AH9" s="80">
        <v>0.62860000000000005</v>
      </c>
      <c r="AI9" s="3">
        <v>38138000</v>
      </c>
      <c r="AJ9" s="3">
        <v>3758501</v>
      </c>
      <c r="AK9" s="3">
        <v>4119196</v>
      </c>
      <c r="AL9" s="3">
        <f t="shared" si="14"/>
        <v>7877697</v>
      </c>
      <c r="AM9" s="3">
        <v>4667047</v>
      </c>
      <c r="AN9" s="13">
        <f>AI9/C9</f>
        <v>0.67581767772332124</v>
      </c>
      <c r="AO9" s="13">
        <f>AI9/E9</f>
        <v>0.73306543967040383</v>
      </c>
      <c r="AP9" s="3">
        <f>AI9/B9</f>
        <v>890.38825204865407</v>
      </c>
      <c r="AQ9" s="13">
        <f>AL9/E9</f>
        <v>0.15142030035385237</v>
      </c>
      <c r="AR9" s="13">
        <f>AJ9/E9</f>
        <v>7.2243620223049254E-2</v>
      </c>
      <c r="AS9" s="66">
        <f>AM9/B9</f>
        <v>108.95914365092335</v>
      </c>
      <c r="AT9" s="81">
        <f>101343383-AU9</f>
        <v>11848812</v>
      </c>
      <c r="AU9" s="54">
        <v>89494571</v>
      </c>
      <c r="AV9" s="54">
        <v>73934657</v>
      </c>
      <c r="AW9" s="78">
        <f>AU9-AV9</f>
        <v>15559914</v>
      </c>
    </row>
    <row r="10" spans="1:49">
      <c r="A10" s="1">
        <v>2023</v>
      </c>
      <c r="B10" s="2">
        <v>42713</v>
      </c>
      <c r="C10" s="58">
        <v>62237711</v>
      </c>
      <c r="D10" s="3">
        <f t="shared" si="1"/>
        <v>1457.1140168098705</v>
      </c>
      <c r="E10" s="3">
        <v>60014360</v>
      </c>
      <c r="F10" s="3">
        <f t="shared" si="2"/>
        <v>1405.060754337087</v>
      </c>
      <c r="G10" s="3">
        <v>6084529</v>
      </c>
      <c r="H10" s="66">
        <f t="shared" si="3"/>
        <v>142.4514550605202</v>
      </c>
      <c r="I10" s="3">
        <v>4013616</v>
      </c>
      <c r="J10" s="3">
        <v>3091992</v>
      </c>
      <c r="K10" s="3">
        <v>14864482</v>
      </c>
      <c r="L10" s="30">
        <f t="shared" si="0"/>
        <v>0.24768208808691786</v>
      </c>
      <c r="M10" s="3">
        <v>20907124</v>
      </c>
      <c r="N10" s="13">
        <f t="shared" si="4"/>
        <v>0.33592372958574906</v>
      </c>
      <c r="O10" s="3">
        <v>113511</v>
      </c>
      <c r="P10" s="13">
        <f t="shared" si="5"/>
        <v>1.8238299284496502E-3</v>
      </c>
      <c r="Q10" s="3">
        <v>18832569</v>
      </c>
      <c r="R10" s="13">
        <f t="shared" si="6"/>
        <v>0.30259096450381989</v>
      </c>
      <c r="S10" s="3">
        <v>8605379</v>
      </c>
      <c r="T10" s="13">
        <f t="shared" si="7"/>
        <v>0.13826631573902196</v>
      </c>
      <c r="U10" s="3">
        <v>3387574</v>
      </c>
      <c r="V10" s="13">
        <f t="shared" si="8"/>
        <v>5.4429604584911549E-2</v>
      </c>
      <c r="W10" s="3">
        <v>1146995</v>
      </c>
      <c r="X10" s="13">
        <f t="shared" si="9"/>
        <v>1.8429260677662134E-2</v>
      </c>
      <c r="Y10" s="3">
        <v>5288137</v>
      </c>
      <c r="Z10" s="13">
        <f t="shared" si="10"/>
        <v>8.4966765567583299E-2</v>
      </c>
      <c r="AA10" s="3">
        <v>413171</v>
      </c>
      <c r="AB10" s="13">
        <f t="shared" si="11"/>
        <v>6.6385956899989457E-3</v>
      </c>
      <c r="AC10" s="3">
        <v>3223340</v>
      </c>
      <c r="AD10" s="13">
        <f t="shared" si="12"/>
        <v>5.1790786457426109E-2</v>
      </c>
      <c r="AE10" s="3">
        <v>319911</v>
      </c>
      <c r="AF10" s="13">
        <f t="shared" si="13"/>
        <v>5.1401472653774174E-3</v>
      </c>
      <c r="AG10" s="65">
        <v>0.72119999999999995</v>
      </c>
      <c r="AH10" s="80">
        <v>0.69259999999999999</v>
      </c>
      <c r="AI10" s="3">
        <v>71382842</v>
      </c>
      <c r="AJ10" s="3">
        <v>3925027</v>
      </c>
      <c r="AK10" s="3">
        <v>4674536</v>
      </c>
      <c r="AL10" s="3">
        <f t="shared" si="14"/>
        <v>8599563</v>
      </c>
      <c r="AM10" s="3">
        <v>5988978</v>
      </c>
      <c r="AN10" s="13">
        <f>AI10/C10</f>
        <v>1.1469387426539515</v>
      </c>
      <c r="AO10" s="13">
        <f>AI10/E10</f>
        <v>1.1894293632390647</v>
      </c>
      <c r="AP10" s="3">
        <f>AI10/B10</f>
        <v>1671.2205183433616</v>
      </c>
      <c r="AQ10" s="13">
        <f>AL10/E10</f>
        <v>0.14329175550651543</v>
      </c>
      <c r="AR10" s="13">
        <f>AJ10/E10</f>
        <v>6.5401463916302693E-2</v>
      </c>
      <c r="AS10" s="66">
        <f>AM10/B10</f>
        <v>140.21440779153889</v>
      </c>
      <c r="AT10" s="81">
        <f>107222315-AU10</f>
        <v>7233217</v>
      </c>
      <c r="AU10" s="54">
        <v>99989098</v>
      </c>
      <c r="AV10" s="54">
        <v>73861563</v>
      </c>
      <c r="AW10" s="78">
        <f>AU10-AV10</f>
        <v>26127535</v>
      </c>
    </row>
    <row r="11" spans="1:49">
      <c r="A11" s="1">
        <v>2024</v>
      </c>
      <c r="B11" s="2">
        <v>43095</v>
      </c>
      <c r="C11" s="58">
        <v>63139342</v>
      </c>
      <c r="D11" s="3">
        <f t="shared" si="1"/>
        <v>1465.1198978999885</v>
      </c>
      <c r="E11" s="3">
        <v>61498872</v>
      </c>
      <c r="F11" s="3">
        <f t="shared" si="2"/>
        <v>1427.0535328924468</v>
      </c>
      <c r="G11" s="3">
        <v>18559233</v>
      </c>
      <c r="H11" s="66">
        <f t="shared" si="3"/>
        <v>430.65861468847896</v>
      </c>
      <c r="I11" s="3">
        <v>3791233</v>
      </c>
      <c r="J11" s="3">
        <v>2916934</v>
      </c>
      <c r="K11" s="3">
        <v>14055964</v>
      </c>
      <c r="L11" s="30">
        <f t="shared" si="0"/>
        <v>0.22855645222240825</v>
      </c>
      <c r="M11" s="3">
        <v>21912688</v>
      </c>
      <c r="N11" s="13">
        <f t="shared" si="4"/>
        <v>0.34705284068370557</v>
      </c>
      <c r="O11" s="3">
        <v>172012</v>
      </c>
      <c r="P11" s="13">
        <f t="shared" si="5"/>
        <v>2.7243236079337032E-3</v>
      </c>
      <c r="Q11" s="3">
        <v>16549227</v>
      </c>
      <c r="R11" s="13">
        <f t="shared" si="6"/>
        <v>0.26210642169821791</v>
      </c>
      <c r="S11" s="3">
        <v>8991901</v>
      </c>
      <c r="T11" s="13">
        <f t="shared" si="7"/>
        <v>0.14241360006570863</v>
      </c>
      <c r="U11" s="3">
        <v>3344256</v>
      </c>
      <c r="V11" s="13">
        <f t="shared" si="8"/>
        <v>5.2966278932713613E-2</v>
      </c>
      <c r="W11" s="3">
        <v>1358912</v>
      </c>
      <c r="X11" s="13">
        <f t="shared" si="9"/>
        <v>2.1522428916031466E-2</v>
      </c>
      <c r="Y11" s="3">
        <v>6243053</v>
      </c>
      <c r="Z11" s="13">
        <f t="shared" si="10"/>
        <v>9.8877384563177739E-2</v>
      </c>
      <c r="AA11" s="3">
        <v>1156980</v>
      </c>
      <c r="AB11" s="13">
        <f t="shared" si="11"/>
        <v>1.8324232773917728E-2</v>
      </c>
      <c r="AC11" s="3">
        <v>3172450</v>
      </c>
      <c r="AD11" s="13">
        <f t="shared" si="12"/>
        <v>5.0245217949848132E-2</v>
      </c>
      <c r="AE11" s="3">
        <v>237863</v>
      </c>
      <c r="AF11" s="13">
        <f t="shared" si="13"/>
        <v>3.7672708087455203E-3</v>
      </c>
      <c r="AG11" s="65">
        <v>0.70830000000000004</v>
      </c>
      <c r="AH11" s="80">
        <v>0.6653</v>
      </c>
      <c r="AI11" s="3">
        <v>78010421</v>
      </c>
      <c r="AJ11" s="3">
        <v>4275514</v>
      </c>
      <c r="AK11" s="3">
        <v>4737566</v>
      </c>
      <c r="AL11" s="3">
        <f t="shared" si="14"/>
        <v>9013080</v>
      </c>
      <c r="AM11" s="3">
        <v>5702315</v>
      </c>
      <c r="AN11" s="13">
        <f>AI11/C11</f>
        <v>1.2355279375575374</v>
      </c>
      <c r="AO11" s="13">
        <f>AI11/E11</f>
        <v>1.2684853959597828</v>
      </c>
      <c r="AP11" s="3">
        <f>AI11/B11</f>
        <v>1810.1965657268825</v>
      </c>
      <c r="AQ11" s="13">
        <f>AL11/E11</f>
        <v>0.14655683440827988</v>
      </c>
      <c r="AR11" s="13">
        <f>AJ11/E11</f>
        <v>6.9521827977592821E-2</v>
      </c>
      <c r="AS11" s="66">
        <f>AM11/B11</f>
        <v>132.31964264995941</v>
      </c>
      <c r="AT11" s="81">
        <f>99796447-AU11</f>
        <v>4481621</v>
      </c>
      <c r="AU11" s="54">
        <v>95314826</v>
      </c>
      <c r="AV11" s="54">
        <v>78620990</v>
      </c>
      <c r="AW11" s="78">
        <f>AU11-AV11</f>
        <v>16693836</v>
      </c>
    </row>
    <row r="12" spans="1:49">
      <c r="A12" s="1">
        <v>2025</v>
      </c>
      <c r="B12" s="2">
        <v>43281</v>
      </c>
      <c r="C12" s="58">
        <v>68037493</v>
      </c>
      <c r="D12" s="3">
        <f t="shared" si="1"/>
        <v>1571.9944779464431</v>
      </c>
      <c r="E12" s="3">
        <v>64469783</v>
      </c>
      <c r="F12" s="3">
        <f t="shared" si="2"/>
        <v>1489.5631570435064</v>
      </c>
      <c r="G12" s="3">
        <v>32780167</v>
      </c>
      <c r="H12" s="66">
        <f t="shared" si="3"/>
        <v>757.38007439754165</v>
      </c>
      <c r="I12" s="3">
        <v>2879388</v>
      </c>
      <c r="J12" s="3">
        <v>3619783</v>
      </c>
      <c r="K12" s="3">
        <v>18042007</v>
      </c>
      <c r="L12" s="30">
        <f t="shared" si="0"/>
        <v>0.27985214406569353</v>
      </c>
      <c r="M12" s="3">
        <v>22948184</v>
      </c>
      <c r="N12" s="13">
        <f t="shared" si="4"/>
        <v>0.33728732479898987</v>
      </c>
      <c r="O12" s="3">
        <v>72960</v>
      </c>
      <c r="P12" s="13">
        <f t="shared" si="5"/>
        <v>1.0723499174197968E-3</v>
      </c>
      <c r="Q12" s="3">
        <v>18013882</v>
      </c>
      <c r="R12" s="13">
        <f t="shared" si="6"/>
        <v>0.26476404708209927</v>
      </c>
      <c r="S12" s="3">
        <v>7204974</v>
      </c>
      <c r="T12" s="13">
        <f t="shared" si="7"/>
        <v>0.1058971117586593</v>
      </c>
      <c r="U12" s="3">
        <v>7465738</v>
      </c>
      <c r="V12" s="13">
        <f t="shared" si="8"/>
        <v>0.10972976326449889</v>
      </c>
      <c r="W12" s="3">
        <v>1409304</v>
      </c>
      <c r="X12" s="13">
        <f t="shared" si="9"/>
        <v>2.0713637993686803E-2</v>
      </c>
      <c r="Y12" s="3">
        <v>6395809</v>
      </c>
      <c r="Z12" s="13">
        <f t="shared" si="10"/>
        <v>9.4004183840224687E-2</v>
      </c>
      <c r="AA12" s="3">
        <v>1075611</v>
      </c>
      <c r="AB12" s="13">
        <f t="shared" si="11"/>
        <v>1.5809092201560102E-2</v>
      </c>
      <c r="AC12" s="3">
        <v>3092024</v>
      </c>
      <c r="AD12" s="13">
        <f t="shared" si="12"/>
        <v>4.5445883786458738E-2</v>
      </c>
      <c r="AE12" s="3">
        <v>359007</v>
      </c>
      <c r="AF12" s="13">
        <f t="shared" si="13"/>
        <v>5.2766053564025353E-3</v>
      </c>
      <c r="AG12" s="65">
        <v>0.73009999999999997</v>
      </c>
      <c r="AH12" s="80">
        <v>0.73089999999999999</v>
      </c>
      <c r="AI12" s="3">
        <v>75935221</v>
      </c>
      <c r="AJ12" s="3">
        <v>4467824</v>
      </c>
      <c r="AK12" s="3">
        <v>5310360</v>
      </c>
      <c r="AL12" s="3">
        <f t="shared" si="14"/>
        <v>9778184</v>
      </c>
      <c r="AM12" s="3">
        <v>4927284</v>
      </c>
      <c r="AN12" s="13">
        <f>AI12/C12</f>
        <v>1.1160790565872261</v>
      </c>
      <c r="AO12" s="13">
        <f>AI12/E12</f>
        <v>1.1778420442333426</v>
      </c>
      <c r="AP12" s="3">
        <f>AI12/B12</f>
        <v>1754.4701139067952</v>
      </c>
      <c r="AQ12" s="13">
        <f>AL12/E12</f>
        <v>0.15167080677160028</v>
      </c>
      <c r="AR12" s="13">
        <f>AJ12/E12</f>
        <v>6.9301055348673965E-2</v>
      </c>
      <c r="AS12" s="66">
        <f>AM12/B12</f>
        <v>113.84404242046163</v>
      </c>
      <c r="AT12" s="81">
        <f>75428465-AU12</f>
        <v>3947652</v>
      </c>
      <c r="AU12" s="54">
        <v>71480813</v>
      </c>
      <c r="AV12" s="54">
        <v>50802151</v>
      </c>
      <c r="AW12" s="78">
        <f>AU12-AV12</f>
        <v>20678662</v>
      </c>
    </row>
    <row r="13" spans="1:49"/>
    <row r="14" spans="1:49"/>
    <row r="15" spans="1:49"/>
    <row r="16" spans="1:49"/>
    <row r="17"/>
    <row r="18"/>
    <row r="19"/>
    <row r="20"/>
    <row r="21"/>
  </sheetData>
  <mergeCells count="5">
    <mergeCell ref="M1:AF1"/>
    <mergeCell ref="C1:H1"/>
    <mergeCell ref="AG1:AS1"/>
    <mergeCell ref="I1:L1"/>
    <mergeCell ref="AT1:A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8C5A-69A6-481F-A769-CD0BEF26056C}">
  <sheetPr>
    <tabColor theme="8"/>
  </sheetPr>
  <dimension ref="A1:BA20"/>
  <sheetViews>
    <sheetView topLeftCell="AR1" workbookViewId="0">
      <selection activeCell="AY3" sqref="AY3:AY12"/>
    </sheetView>
  </sheetViews>
  <sheetFormatPr defaultRowHeight="15" customHeight="1"/>
  <cols>
    <col min="2" max="2" width="10.140625" customWidth="1"/>
    <col min="3" max="3" width="16.28515625" customWidth="1"/>
    <col min="4" max="4" width="16.5703125" customWidth="1"/>
    <col min="5" max="5" width="19.140625" customWidth="1"/>
    <col min="6" max="6" width="19.5703125" customWidth="1"/>
    <col min="7" max="9" width="17.28515625" customWidth="1"/>
    <col min="10" max="10" width="18.140625" customWidth="1"/>
    <col min="11" max="11" width="14.42578125" customWidth="1"/>
    <col min="12" max="12" width="14.85546875" customWidth="1"/>
    <col min="14" max="14" width="13.42578125" customWidth="1"/>
    <col min="16" max="16" width="13.5703125" customWidth="1"/>
    <col min="18" max="18" width="15.140625" customWidth="1"/>
    <col min="20" max="20" width="16.5703125" customWidth="1"/>
    <col min="21" max="21" width="11.85546875" customWidth="1"/>
    <col min="22" max="22" width="15.28515625" customWidth="1"/>
    <col min="23" max="23" width="12" customWidth="1"/>
    <col min="24" max="24" width="15.5703125" customWidth="1"/>
    <col min="25" max="25" width="12" customWidth="1"/>
    <col min="26" max="26" width="13.42578125" customWidth="1"/>
    <col min="27" max="27" width="11" customWidth="1"/>
    <col min="28" max="28" width="13" customWidth="1"/>
    <col min="29" max="29" width="13.140625" customWidth="1"/>
    <col min="30" max="30" width="17.28515625" customWidth="1"/>
    <col min="32" max="32" width="16.140625" customWidth="1"/>
    <col min="33" max="33" width="14.140625" customWidth="1"/>
    <col min="34" max="34" width="13.85546875" customWidth="1"/>
    <col min="35" max="35" width="11.5703125" customWidth="1"/>
    <col min="36" max="37" width="19.5703125" customWidth="1"/>
    <col min="38" max="39" width="20.7109375" customWidth="1"/>
    <col min="40" max="41" width="20.140625" customWidth="1"/>
    <col min="42" max="42" width="16.42578125" customWidth="1"/>
    <col min="43" max="43" width="12.5703125" customWidth="1"/>
    <col min="44" max="44" width="17.140625" customWidth="1"/>
    <col min="45" max="45" width="10.7109375" customWidth="1"/>
    <col min="46" max="46" width="18.7109375" customWidth="1"/>
    <col min="47" max="48" width="17.85546875" customWidth="1"/>
    <col min="49" max="49" width="13.42578125" customWidth="1"/>
    <col min="50" max="50" width="15.140625" customWidth="1"/>
    <col min="51" max="51" width="16.7109375" customWidth="1"/>
    <col min="52" max="52" width="15" customWidth="1"/>
    <col min="53" max="53" width="14.85546875" customWidth="1"/>
  </cols>
  <sheetData>
    <row r="1" spans="1:53">
      <c r="C1" s="106" t="s">
        <v>0</v>
      </c>
      <c r="D1" s="107"/>
      <c r="E1" s="107"/>
      <c r="F1" s="107"/>
      <c r="G1" s="110"/>
      <c r="H1" s="107" t="s">
        <v>57</v>
      </c>
      <c r="I1" s="107"/>
      <c r="J1" s="107"/>
      <c r="K1" s="110"/>
      <c r="L1" s="111" t="s">
        <v>2</v>
      </c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06" t="s">
        <v>3</v>
      </c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8"/>
      <c r="AX1" s="109" t="s">
        <v>4</v>
      </c>
      <c r="AY1" s="107"/>
      <c r="AZ1" s="107"/>
      <c r="BA1" s="107"/>
    </row>
    <row r="2" spans="1:53" ht="43.5" customHeight="1">
      <c r="A2" s="23" t="s">
        <v>5</v>
      </c>
      <c r="B2" s="23" t="s">
        <v>6</v>
      </c>
      <c r="C2" s="63" t="s">
        <v>7</v>
      </c>
      <c r="D2" s="61" t="s">
        <v>8</v>
      </c>
      <c r="E2" s="61" t="s">
        <v>9</v>
      </c>
      <c r="F2" s="61" t="s">
        <v>10</v>
      </c>
      <c r="G2" s="62" t="s">
        <v>11</v>
      </c>
      <c r="H2" s="61" t="s">
        <v>12</v>
      </c>
      <c r="I2" s="61" t="s">
        <v>76</v>
      </c>
      <c r="J2" s="61" t="s">
        <v>14</v>
      </c>
      <c r="K2" s="62" t="s">
        <v>15</v>
      </c>
      <c r="L2" s="24" t="s">
        <v>16</v>
      </c>
      <c r="M2" s="24" t="s">
        <v>17</v>
      </c>
      <c r="N2" s="24" t="s">
        <v>89</v>
      </c>
      <c r="O2" s="24" t="s">
        <v>90</v>
      </c>
      <c r="P2" s="24" t="s">
        <v>20</v>
      </c>
      <c r="Q2" s="24" t="s">
        <v>21</v>
      </c>
      <c r="R2" s="24" t="s">
        <v>79</v>
      </c>
      <c r="S2" s="24" t="s">
        <v>91</v>
      </c>
      <c r="T2" s="24" t="s">
        <v>69</v>
      </c>
      <c r="U2" s="24" t="s">
        <v>33</v>
      </c>
      <c r="V2" s="24" t="s">
        <v>92</v>
      </c>
      <c r="W2" s="24" t="s">
        <v>82</v>
      </c>
      <c r="X2" s="24" t="s">
        <v>67</v>
      </c>
      <c r="Y2" s="24" t="s">
        <v>93</v>
      </c>
      <c r="Z2" s="24" t="s">
        <v>94</v>
      </c>
      <c r="AA2" s="24" t="s">
        <v>95</v>
      </c>
      <c r="AB2" s="24" t="s">
        <v>96</v>
      </c>
      <c r="AC2" s="24" t="s">
        <v>77</v>
      </c>
      <c r="AD2" s="24" t="s">
        <v>68</v>
      </c>
      <c r="AE2" s="24" t="s">
        <v>97</v>
      </c>
      <c r="AF2" s="24" t="s">
        <v>66</v>
      </c>
      <c r="AG2" s="24" t="s">
        <v>98</v>
      </c>
      <c r="AH2" s="24" t="s">
        <v>36</v>
      </c>
      <c r="AI2" s="24" t="s">
        <v>37</v>
      </c>
      <c r="AJ2" s="64" t="s">
        <v>99</v>
      </c>
      <c r="AK2" s="24" t="s">
        <v>100</v>
      </c>
      <c r="AL2" s="24" t="s">
        <v>42</v>
      </c>
      <c r="AM2" s="24" t="s">
        <v>41</v>
      </c>
      <c r="AN2" s="24" t="s">
        <v>43</v>
      </c>
      <c r="AO2" s="24" t="s">
        <v>101</v>
      </c>
      <c r="AP2" s="24" t="s">
        <v>44</v>
      </c>
      <c r="AQ2" s="24" t="s">
        <v>45</v>
      </c>
      <c r="AR2" s="24" t="s">
        <v>46</v>
      </c>
      <c r="AS2" s="24" t="s">
        <v>47</v>
      </c>
      <c r="AT2" s="24" t="s">
        <v>48</v>
      </c>
      <c r="AU2" s="24" t="s">
        <v>49</v>
      </c>
      <c r="AV2" s="24" t="s">
        <v>50</v>
      </c>
      <c r="AW2" s="25" t="s">
        <v>51</v>
      </c>
      <c r="AX2" s="24" t="s">
        <v>52</v>
      </c>
      <c r="AY2" s="24" t="s">
        <v>53</v>
      </c>
      <c r="AZ2" s="24" t="s">
        <v>54</v>
      </c>
      <c r="BA2" s="24" t="s">
        <v>55</v>
      </c>
    </row>
    <row r="3" spans="1:53">
      <c r="A3">
        <v>2016</v>
      </c>
      <c r="B3" s="2">
        <v>31376</v>
      </c>
      <c r="C3" s="58">
        <v>39516979</v>
      </c>
      <c r="D3" s="11">
        <f>C3/B3</f>
        <v>1259.4651644569096</v>
      </c>
      <c r="E3" s="3">
        <v>36165995</v>
      </c>
      <c r="F3" s="11">
        <f>E3/B3</f>
        <v>1152.6642975522693</v>
      </c>
      <c r="G3" s="66">
        <v>3241657</v>
      </c>
      <c r="H3" s="3">
        <v>9555085</v>
      </c>
      <c r="I3" s="3">
        <v>20019187</v>
      </c>
      <c r="J3" s="3">
        <v>0</v>
      </c>
      <c r="K3" s="60">
        <f t="shared" ref="K3:K12" si="0">J3/E3</f>
        <v>0</v>
      </c>
      <c r="L3" s="3">
        <v>13743123</v>
      </c>
      <c r="M3" s="13">
        <f>L3/C3</f>
        <v>0.34777767298456697</v>
      </c>
      <c r="N3" s="3">
        <v>7501175</v>
      </c>
      <c r="O3" s="13">
        <f>N3/C3</f>
        <v>0.1898215701154686</v>
      </c>
      <c r="P3" s="1"/>
      <c r="Q3" s="13">
        <f>P3/C3</f>
        <v>0</v>
      </c>
      <c r="R3" s="3">
        <v>1953045</v>
      </c>
      <c r="S3" s="13">
        <f>R3/C3</f>
        <v>4.9422932861340439E-2</v>
      </c>
      <c r="T3" s="3">
        <v>1539672</v>
      </c>
      <c r="U3" s="13">
        <f>T3/C3</f>
        <v>3.8962290108259544E-2</v>
      </c>
      <c r="V3" s="3">
        <v>4977565</v>
      </c>
      <c r="W3" s="13">
        <f>V3/C3</f>
        <v>0.12596016006183064</v>
      </c>
      <c r="X3" s="3">
        <v>3615256</v>
      </c>
      <c r="Y3" s="13">
        <f>X3/C3</f>
        <v>9.1486143209479648E-2</v>
      </c>
      <c r="Z3" s="3">
        <v>31723</v>
      </c>
      <c r="AA3" s="13">
        <f>Z3/C3</f>
        <v>8.0276885538239147E-4</v>
      </c>
      <c r="AB3" s="3">
        <v>879264</v>
      </c>
      <c r="AC3" s="13">
        <f>AB3/C3</f>
        <v>2.2250283858996408E-2</v>
      </c>
      <c r="AD3" s="3">
        <v>2258892</v>
      </c>
      <c r="AE3" s="13">
        <f>AD3/C3</f>
        <v>5.7162568019179807E-2</v>
      </c>
      <c r="AF3" s="3">
        <v>620895</v>
      </c>
      <c r="AG3" s="13">
        <f>AF3/C3</f>
        <v>1.5712106940158559E-2</v>
      </c>
      <c r="AH3" s="3">
        <v>2396369</v>
      </c>
      <c r="AI3" s="13">
        <f>AH3/C3</f>
        <v>6.0641502985337013E-2</v>
      </c>
      <c r="AJ3" s="65">
        <v>0.31580000000000003</v>
      </c>
      <c r="AK3" s="13">
        <v>0.24179999999999999</v>
      </c>
      <c r="AL3" s="3">
        <v>1586129</v>
      </c>
      <c r="AM3" s="3">
        <v>2223782</v>
      </c>
      <c r="AN3" s="3">
        <f t="shared" ref="AN3:AN11" si="1">AI3+AL3</f>
        <v>1586129.060641503</v>
      </c>
      <c r="AO3" s="3">
        <v>33382870</v>
      </c>
      <c r="AP3" s="3">
        <v>33382870</v>
      </c>
      <c r="AQ3" s="13">
        <f t="shared" ref="AQ3:AQ11" si="2">AO3/C3</f>
        <v>0.84477282537210141</v>
      </c>
      <c r="AR3" s="13">
        <f>AH3/E3</f>
        <v>6.6260281239324398E-2</v>
      </c>
      <c r="AS3" s="3">
        <f>AH3/B3</f>
        <v>76.375860530341669</v>
      </c>
      <c r="AT3" s="13">
        <f>AL3/E3</f>
        <v>4.3856915868068884E-2</v>
      </c>
      <c r="AU3" s="13">
        <f>AM3/E3</f>
        <v>6.1488201831582399E-2</v>
      </c>
      <c r="AV3" s="13">
        <f>AN3/E3</f>
        <v>4.3856917544823612E-2</v>
      </c>
      <c r="AW3" s="12">
        <f>AP3/B3</f>
        <v>1063.961945436002</v>
      </c>
      <c r="AX3" s="20">
        <f>74777768-AY3</f>
        <v>22284075</v>
      </c>
      <c r="AY3" s="20">
        <f t="shared" ref="AY3:AY11" si="3">AZ3+BA3</f>
        <v>52493693</v>
      </c>
      <c r="AZ3" s="20">
        <v>4186613</v>
      </c>
      <c r="BA3" s="20">
        <f>52493693-AZ3</f>
        <v>48307080</v>
      </c>
    </row>
    <row r="4" spans="1:53">
      <c r="A4">
        <v>2017</v>
      </c>
      <c r="B4" s="2">
        <v>31314</v>
      </c>
      <c r="C4" s="58">
        <v>38746123</v>
      </c>
      <c r="D4" s="11">
        <f t="shared" ref="D4:D12" si="4">C4/B4</f>
        <v>1237.3418598709843</v>
      </c>
      <c r="E4" s="3">
        <v>34542602</v>
      </c>
      <c r="F4" s="11">
        <f t="shared" ref="F4:F12" si="5">E4/B4</f>
        <v>1103.1041067892954</v>
      </c>
      <c r="G4" s="66">
        <v>6867034</v>
      </c>
      <c r="H4" s="3">
        <v>14050699</v>
      </c>
      <c r="I4" s="3">
        <v>15129925</v>
      </c>
      <c r="J4" s="3">
        <v>0</v>
      </c>
      <c r="K4" s="60">
        <f t="shared" si="0"/>
        <v>0</v>
      </c>
      <c r="L4" s="3">
        <v>14756214</v>
      </c>
      <c r="M4" s="13">
        <f t="shared" ref="M4:M12" si="6">L4/C4</f>
        <v>0.38084362659975041</v>
      </c>
      <c r="N4" s="3">
        <v>8799323</v>
      </c>
      <c r="O4" s="13">
        <f t="shared" ref="O4:O12" si="7">N4/C4</f>
        <v>0.22710202514971628</v>
      </c>
      <c r="P4" s="1"/>
      <c r="Q4" s="13">
        <f t="shared" ref="Q4:Q12" si="8">P4/C4</f>
        <v>0</v>
      </c>
      <c r="R4" s="3">
        <v>2328058</v>
      </c>
      <c r="S4" s="13">
        <f t="shared" ref="S4:S12" si="9">R4/C4</f>
        <v>6.0084927722962117E-2</v>
      </c>
      <c r="T4" s="3">
        <v>908285</v>
      </c>
      <c r="U4" s="13">
        <f t="shared" ref="U4:U12" si="10">T4/C4</f>
        <v>2.3441958308964228E-2</v>
      </c>
      <c r="V4" s="3">
        <v>4759492</v>
      </c>
      <c r="W4" s="13">
        <f t="shared" ref="W4:W12" si="11">V4/C4</f>
        <v>0.12283789012903304</v>
      </c>
      <c r="X4" s="3">
        <v>3269714</v>
      </c>
      <c r="Y4" s="13">
        <f t="shared" ref="Y4:Y12" si="12">X4/C4</f>
        <v>8.4388159300480201E-2</v>
      </c>
      <c r="Z4" s="3">
        <v>32096</v>
      </c>
      <c r="AA4" s="13">
        <f t="shared" ref="AA4:AA12" si="13">Z4/C4</f>
        <v>8.2836675039719455E-4</v>
      </c>
      <c r="AB4" s="3">
        <v>917105</v>
      </c>
      <c r="AC4" s="13">
        <f t="shared" ref="AC4:AC12" si="14">AB4/C4</f>
        <v>2.3669593987506829E-2</v>
      </c>
      <c r="AD4" s="3">
        <v>2366908</v>
      </c>
      <c r="AE4" s="13">
        <f t="shared" ref="AE4:AE12" si="15">AD4/C4</f>
        <v>6.1087608687971182E-2</v>
      </c>
      <c r="AF4" s="3">
        <v>124457</v>
      </c>
      <c r="AG4" s="13">
        <f t="shared" ref="AG4:AG12" si="16">AF4/C4</f>
        <v>3.2121149256662401E-3</v>
      </c>
      <c r="AH4" s="3">
        <v>484471</v>
      </c>
      <c r="AI4" s="13">
        <f t="shared" ref="AI4:AI12" si="17">AH4/C4</f>
        <v>1.2503728437552319E-2</v>
      </c>
      <c r="AJ4" s="65">
        <v>0.3518</v>
      </c>
      <c r="AK4" s="13">
        <v>0.26679999999999998</v>
      </c>
      <c r="AL4" s="3">
        <v>1738150</v>
      </c>
      <c r="AM4" s="3">
        <v>2407496</v>
      </c>
      <c r="AN4" s="3">
        <f t="shared" si="1"/>
        <v>1738150.0125037285</v>
      </c>
      <c r="AO4" s="3">
        <v>47271733</v>
      </c>
      <c r="AP4" s="3">
        <v>897603</v>
      </c>
      <c r="AQ4" s="13">
        <f t="shared" si="2"/>
        <v>1.2200377570679781</v>
      </c>
      <c r="AR4" s="13">
        <f t="shared" ref="AR4:AR12" si="18">AH4/E4</f>
        <v>1.4025318648548826E-2</v>
      </c>
      <c r="AS4" s="3">
        <f t="shared" ref="AS4:AS12" si="19">AH4/B4</f>
        <v>15.471386600242703</v>
      </c>
      <c r="AT4" s="13">
        <f>AL4/E4</f>
        <v>5.0319023448204624E-2</v>
      </c>
      <c r="AU4" s="13">
        <f t="shared" ref="AU4:AU12" si="20">AM4/E4</f>
        <v>6.96964287751108E-2</v>
      </c>
      <c r="AV4" s="13">
        <f t="shared" ref="AV4:AV12" si="21">AN4/E4</f>
        <v>5.0319023810184549E-2</v>
      </c>
      <c r="AW4" s="12">
        <f t="shared" ref="AW4:AW12" si="22">AP4/B4</f>
        <v>28.664590917800346</v>
      </c>
      <c r="AX4" s="20">
        <f>75828711-AY4</f>
        <v>18959424</v>
      </c>
      <c r="AY4" s="20">
        <f t="shared" si="3"/>
        <v>56869287</v>
      </c>
      <c r="AZ4" s="20">
        <v>6213877</v>
      </c>
      <c r="BA4" s="20">
        <f>56869287-AZ4</f>
        <v>50655410</v>
      </c>
    </row>
    <row r="5" spans="1:53">
      <c r="A5">
        <v>2018</v>
      </c>
      <c r="B5" s="2">
        <v>30601</v>
      </c>
      <c r="C5" s="58">
        <v>40529416</v>
      </c>
      <c r="D5" s="11">
        <f t="shared" si="4"/>
        <v>1324.447436358289</v>
      </c>
      <c r="E5" s="3">
        <v>37014345</v>
      </c>
      <c r="F5" s="11">
        <f t="shared" si="5"/>
        <v>1209.5795889023234</v>
      </c>
      <c r="G5" s="66">
        <v>9778058</v>
      </c>
      <c r="H5" s="3">
        <v>17475285</v>
      </c>
      <c r="I5" s="3">
        <v>12953399</v>
      </c>
      <c r="J5" s="3">
        <v>0</v>
      </c>
      <c r="K5" s="60">
        <f t="shared" si="0"/>
        <v>0</v>
      </c>
      <c r="L5" s="3">
        <v>15958406</v>
      </c>
      <c r="M5" s="13">
        <f t="shared" si="6"/>
        <v>0.39374872808431288</v>
      </c>
      <c r="N5" s="3">
        <v>7592206</v>
      </c>
      <c r="O5" s="13">
        <f t="shared" si="7"/>
        <v>0.18732581787016125</v>
      </c>
      <c r="P5" s="1"/>
      <c r="Q5" s="13">
        <f t="shared" si="8"/>
        <v>0</v>
      </c>
      <c r="R5" s="3">
        <v>2636002</v>
      </c>
      <c r="S5" s="13">
        <f t="shared" si="9"/>
        <v>6.5039229778193694E-2</v>
      </c>
      <c r="T5" s="3">
        <v>1010166</v>
      </c>
      <c r="U5" s="13">
        <f t="shared" si="10"/>
        <v>2.4924267351890784E-2</v>
      </c>
      <c r="V5" s="3">
        <v>4697560</v>
      </c>
      <c r="W5" s="13">
        <f t="shared" si="11"/>
        <v>0.11590495160354643</v>
      </c>
      <c r="X5" s="3">
        <v>4625136</v>
      </c>
      <c r="Y5" s="13">
        <f t="shared" si="12"/>
        <v>0.11411800258853964</v>
      </c>
      <c r="Z5" s="3">
        <v>32206</v>
      </c>
      <c r="AA5" s="13">
        <f t="shared" si="13"/>
        <v>7.9463271812256063E-4</v>
      </c>
      <c r="AB5" s="3">
        <v>676212</v>
      </c>
      <c r="AC5" s="13">
        <f t="shared" si="14"/>
        <v>1.6684474308734178E-2</v>
      </c>
      <c r="AD5" s="3">
        <v>2474814</v>
      </c>
      <c r="AE5" s="13">
        <f t="shared" si="15"/>
        <v>6.1062167784504962E-2</v>
      </c>
      <c r="AF5" s="3">
        <v>244762</v>
      </c>
      <c r="AG5" s="13">
        <f t="shared" si="16"/>
        <v>6.039119833357579E-3</v>
      </c>
      <c r="AH5" s="3">
        <v>581946</v>
      </c>
      <c r="AI5" s="13">
        <f t="shared" si="17"/>
        <v>1.4358608078636021E-2</v>
      </c>
      <c r="AJ5" s="65">
        <v>0.38419999999999999</v>
      </c>
      <c r="AK5" s="13">
        <v>0.2787</v>
      </c>
      <c r="AL5" s="3">
        <v>1951711</v>
      </c>
      <c r="AM5" s="3">
        <v>2669133</v>
      </c>
      <c r="AN5" s="3">
        <f t="shared" si="1"/>
        <v>1951711.0143586081</v>
      </c>
      <c r="AO5" s="3">
        <v>53204508</v>
      </c>
      <c r="AP5" s="3">
        <v>11165000</v>
      </c>
      <c r="AQ5" s="13">
        <f t="shared" si="2"/>
        <v>1.3127380863321594</v>
      </c>
      <c r="AR5" s="13">
        <f t="shared" si="18"/>
        <v>1.5722174740630965E-2</v>
      </c>
      <c r="AS5" s="3">
        <f t="shared" si="19"/>
        <v>19.017221659422894</v>
      </c>
      <c r="AT5" s="13">
        <f>AL5/E5</f>
        <v>5.2728502962837785E-2</v>
      </c>
      <c r="AU5" s="13">
        <f t="shared" si="20"/>
        <v>7.211077218845828E-2</v>
      </c>
      <c r="AV5" s="13">
        <f t="shared" si="21"/>
        <v>5.2728503350757877E-2</v>
      </c>
      <c r="AW5" s="12">
        <f t="shared" si="22"/>
        <v>364.85735760269273</v>
      </c>
      <c r="AX5" s="20">
        <f>76137099-AY5</f>
        <v>18971132</v>
      </c>
      <c r="AY5" s="20">
        <f t="shared" si="3"/>
        <v>57165967</v>
      </c>
      <c r="AZ5" s="20">
        <v>6282764</v>
      </c>
      <c r="BA5" s="20">
        <f>57165967-AZ5</f>
        <v>50883203</v>
      </c>
    </row>
    <row r="6" spans="1:53">
      <c r="A6" s="1">
        <v>2019</v>
      </c>
      <c r="B6" s="2">
        <v>30998</v>
      </c>
      <c r="C6" s="58">
        <v>43622934</v>
      </c>
      <c r="D6" s="11">
        <f t="shared" si="4"/>
        <v>1407.2822117555972</v>
      </c>
      <c r="E6" s="3">
        <v>37993949</v>
      </c>
      <c r="F6" s="11">
        <f t="shared" si="5"/>
        <v>1225.6903348603137</v>
      </c>
      <c r="G6" s="66">
        <v>7888914</v>
      </c>
      <c r="H6" s="3">
        <v>18256895</v>
      </c>
      <c r="I6" s="3">
        <v>15070944</v>
      </c>
      <c r="J6" s="3">
        <v>0</v>
      </c>
      <c r="K6" s="60">
        <f t="shared" si="0"/>
        <v>0</v>
      </c>
      <c r="L6" s="3">
        <v>17321344</v>
      </c>
      <c r="M6" s="13">
        <f t="shared" si="6"/>
        <v>0.39706966982092495</v>
      </c>
      <c r="N6" s="3">
        <v>8158152</v>
      </c>
      <c r="O6" s="13">
        <f t="shared" si="7"/>
        <v>0.18701520626741888</v>
      </c>
      <c r="P6" s="1"/>
      <c r="Q6" s="13">
        <f t="shared" si="8"/>
        <v>0</v>
      </c>
      <c r="R6" s="3">
        <v>2698352</v>
      </c>
      <c r="S6" s="13">
        <f t="shared" si="9"/>
        <v>6.1856270373744235E-2</v>
      </c>
      <c r="T6" s="3">
        <v>950380</v>
      </c>
      <c r="U6" s="13">
        <f t="shared" si="10"/>
        <v>2.1786246656403257E-2</v>
      </c>
      <c r="V6" s="3">
        <v>4586788</v>
      </c>
      <c r="W6" s="13">
        <f t="shared" si="11"/>
        <v>0.10514625173996779</v>
      </c>
      <c r="X6" s="3">
        <v>4643715</v>
      </c>
      <c r="Y6" s="13">
        <f t="shared" si="12"/>
        <v>0.10645123044681039</v>
      </c>
      <c r="Z6" s="3">
        <v>32960</v>
      </c>
      <c r="AA6" s="13">
        <f t="shared" si="13"/>
        <v>7.5556586817383722E-4</v>
      </c>
      <c r="AB6" s="3">
        <v>510266</v>
      </c>
      <c r="AC6" s="13">
        <f t="shared" si="14"/>
        <v>1.1697195791553131E-2</v>
      </c>
      <c r="AD6" s="3">
        <v>2475916</v>
      </c>
      <c r="AE6" s="13">
        <f t="shared" si="15"/>
        <v>5.675720940732689E-2</v>
      </c>
      <c r="AF6" s="3">
        <v>1682347</v>
      </c>
      <c r="AG6" s="13">
        <f t="shared" si="16"/>
        <v>3.8565654478903227E-2</v>
      </c>
      <c r="AH6" s="3">
        <v>562714</v>
      </c>
      <c r="AI6" s="13">
        <f t="shared" si="17"/>
        <v>1.2899499148773442E-2</v>
      </c>
      <c r="AJ6" s="65">
        <v>0.52310000000000001</v>
      </c>
      <c r="AK6" s="13">
        <v>0.29859999999999998</v>
      </c>
      <c r="AL6" s="3">
        <v>2325357</v>
      </c>
      <c r="AM6" s="3">
        <v>3049748</v>
      </c>
      <c r="AN6" s="3">
        <f t="shared" si="1"/>
        <v>2325357.0128994989</v>
      </c>
      <c r="AO6" s="3">
        <v>53627829</v>
      </c>
      <c r="AP6" s="3">
        <v>10055468</v>
      </c>
      <c r="AQ6" s="13">
        <f t="shared" si="2"/>
        <v>1.2293494289036129</v>
      </c>
      <c r="AR6" s="13">
        <f t="shared" si="18"/>
        <v>1.4810621554500691E-2</v>
      </c>
      <c r="AS6" s="3">
        <f t="shared" si="19"/>
        <v>18.15323569262533</v>
      </c>
      <c r="AT6" s="13">
        <f>AL6/E6</f>
        <v>6.1203351091511968E-2</v>
      </c>
      <c r="AU6" s="13">
        <f t="shared" si="20"/>
        <v>8.0269308146936766E-2</v>
      </c>
      <c r="AV6" s="13">
        <f t="shared" si="21"/>
        <v>6.120335143102653E-2</v>
      </c>
      <c r="AW6" s="12">
        <f t="shared" si="22"/>
        <v>324.39086392670492</v>
      </c>
      <c r="AX6" s="20">
        <f>72144651-AY6</f>
        <v>13402406</v>
      </c>
      <c r="AY6" s="20">
        <f t="shared" si="3"/>
        <v>58742245</v>
      </c>
      <c r="AZ6" s="20">
        <v>6425281</v>
      </c>
      <c r="BA6" s="20">
        <f>58742245-AZ6</f>
        <v>52316964</v>
      </c>
    </row>
    <row r="7" spans="1:53">
      <c r="A7" s="1">
        <v>2020</v>
      </c>
      <c r="B7" s="2">
        <v>31439</v>
      </c>
      <c r="C7" s="58">
        <v>42715907</v>
      </c>
      <c r="D7" s="11">
        <f t="shared" si="4"/>
        <v>1358.6916568593149</v>
      </c>
      <c r="E7" s="3">
        <v>44270043</v>
      </c>
      <c r="F7" s="11">
        <f t="shared" si="5"/>
        <v>1408.1250357835809</v>
      </c>
      <c r="G7" s="66">
        <v>7861972</v>
      </c>
      <c r="H7" s="3">
        <v>13277813</v>
      </c>
      <c r="I7" s="3">
        <v>15387706</v>
      </c>
      <c r="J7" s="3">
        <v>0</v>
      </c>
      <c r="K7" s="60">
        <f t="shared" si="0"/>
        <v>0</v>
      </c>
      <c r="L7" s="3">
        <v>18330425</v>
      </c>
      <c r="M7" s="13">
        <f t="shared" si="6"/>
        <v>0.42912409655728484</v>
      </c>
      <c r="N7" s="3">
        <v>7531425</v>
      </c>
      <c r="O7" s="13">
        <f t="shared" si="7"/>
        <v>0.17631429434472737</v>
      </c>
      <c r="P7" s="1"/>
      <c r="Q7" s="13">
        <f t="shared" si="8"/>
        <v>0</v>
      </c>
      <c r="R7" s="3">
        <v>1877338</v>
      </c>
      <c r="S7" s="13">
        <f t="shared" si="9"/>
        <v>4.3949388690260049E-2</v>
      </c>
      <c r="T7" s="3">
        <v>1104075</v>
      </c>
      <c r="U7" s="13">
        <f t="shared" si="10"/>
        <v>2.584692863948786E-2</v>
      </c>
      <c r="V7" s="3">
        <v>4053537</v>
      </c>
      <c r="W7" s="13">
        <f t="shared" si="11"/>
        <v>9.4895257637863106E-2</v>
      </c>
      <c r="X7" s="3">
        <v>4447213</v>
      </c>
      <c r="Y7" s="13">
        <f t="shared" si="12"/>
        <v>0.10411140280832618</v>
      </c>
      <c r="Z7" s="3">
        <v>31039</v>
      </c>
      <c r="AA7" s="13">
        <f t="shared" si="13"/>
        <v>7.2663797118951491E-4</v>
      </c>
      <c r="AB7" s="3">
        <v>271117</v>
      </c>
      <c r="AC7" s="13">
        <f t="shared" si="14"/>
        <v>6.3469798265081909E-3</v>
      </c>
      <c r="AD7" s="3">
        <v>2495792</v>
      </c>
      <c r="AE7" s="13">
        <f t="shared" si="15"/>
        <v>5.842769533139025E-2</v>
      </c>
      <c r="AF7" s="3">
        <v>2266134</v>
      </c>
      <c r="AG7" s="13">
        <f t="shared" si="16"/>
        <v>5.3051290705357142E-2</v>
      </c>
      <c r="AH7" s="3">
        <v>307812</v>
      </c>
      <c r="AI7" s="13">
        <f t="shared" si="17"/>
        <v>7.2060274876054953E-3</v>
      </c>
      <c r="AJ7" s="65">
        <v>0.52049999999999996</v>
      </c>
      <c r="AK7" s="13">
        <v>0.72809999999999997</v>
      </c>
      <c r="AL7" s="3">
        <v>2565205</v>
      </c>
      <c r="AM7" s="3">
        <v>8146791</v>
      </c>
      <c r="AN7" s="3">
        <f t="shared" si="1"/>
        <v>2565205.0072060274</v>
      </c>
      <c r="AO7" s="3">
        <v>57230935</v>
      </c>
      <c r="AP7" s="3">
        <v>9126387</v>
      </c>
      <c r="AQ7" s="13">
        <f t="shared" si="2"/>
        <v>1.3398038112593513</v>
      </c>
      <c r="AR7" s="13">
        <f t="shared" si="18"/>
        <v>6.9530540099091388E-3</v>
      </c>
      <c r="AS7" s="3">
        <f t="shared" si="19"/>
        <v>9.7907694265084775</v>
      </c>
      <c r="AT7" s="13">
        <f>AL7/E7</f>
        <v>5.7944488556290766E-2</v>
      </c>
      <c r="AU7" s="13">
        <f t="shared" si="20"/>
        <v>0.18402491725612283</v>
      </c>
      <c r="AV7" s="13">
        <f t="shared" si="21"/>
        <v>5.7944488719065108E-2</v>
      </c>
      <c r="AW7" s="12">
        <f t="shared" si="22"/>
        <v>290.28871783453673</v>
      </c>
      <c r="AX7" s="20">
        <f>73953474-AY7</f>
        <v>13824219</v>
      </c>
      <c r="AY7" s="20">
        <f t="shared" si="3"/>
        <v>60129255</v>
      </c>
      <c r="AZ7" s="20">
        <v>12185932</v>
      </c>
      <c r="BA7" s="20">
        <f>60129255-AZ7</f>
        <v>47943323</v>
      </c>
    </row>
    <row r="8" spans="1:53">
      <c r="A8" s="1">
        <v>2021</v>
      </c>
      <c r="B8" s="2">
        <v>30836</v>
      </c>
      <c r="C8" s="58">
        <v>42739761</v>
      </c>
      <c r="D8" s="11">
        <f t="shared" si="4"/>
        <v>1386.0345375535089</v>
      </c>
      <c r="E8" s="3">
        <v>46612586</v>
      </c>
      <c r="F8" s="11">
        <f t="shared" si="5"/>
        <v>1511.6288104812556</v>
      </c>
      <c r="G8" s="66">
        <v>5746447</v>
      </c>
      <c r="H8" s="3">
        <v>12534648</v>
      </c>
      <c r="I8" s="3">
        <v>11220970</v>
      </c>
      <c r="J8" s="3">
        <v>0</v>
      </c>
      <c r="K8" s="60">
        <f t="shared" si="0"/>
        <v>0</v>
      </c>
      <c r="L8" s="3">
        <v>19878835</v>
      </c>
      <c r="M8" s="13">
        <f t="shared" si="6"/>
        <v>0.4651133870402317</v>
      </c>
      <c r="N8" s="3">
        <v>7933604</v>
      </c>
      <c r="O8" s="13">
        <f t="shared" si="7"/>
        <v>0.18562583913372843</v>
      </c>
      <c r="P8" s="1"/>
      <c r="Q8" s="13">
        <f t="shared" si="8"/>
        <v>0</v>
      </c>
      <c r="R8" s="3">
        <v>1059741</v>
      </c>
      <c r="S8" s="13">
        <f t="shared" si="9"/>
        <v>2.479520182623389E-2</v>
      </c>
      <c r="T8" s="3">
        <v>1573697</v>
      </c>
      <c r="U8" s="13">
        <f t="shared" si="10"/>
        <v>3.6820444550450339E-2</v>
      </c>
      <c r="V8" s="3">
        <v>4386654</v>
      </c>
      <c r="W8" s="13">
        <f t="shared" si="11"/>
        <v>0.10263637178504578</v>
      </c>
      <c r="X8" s="3">
        <v>4835962</v>
      </c>
      <c r="Y8" s="13">
        <f t="shared" si="12"/>
        <v>0.11314901831107572</v>
      </c>
      <c r="Z8" s="3">
        <v>36372</v>
      </c>
      <c r="AA8" s="13">
        <f t="shared" si="13"/>
        <v>8.5101084210555133E-4</v>
      </c>
      <c r="AB8" s="3">
        <v>103467</v>
      </c>
      <c r="AC8" s="13">
        <f t="shared" si="14"/>
        <v>2.4208605190843254E-3</v>
      </c>
      <c r="AD8" s="3">
        <v>2499463</v>
      </c>
      <c r="AE8" s="13">
        <f t="shared" si="15"/>
        <v>5.8480977467328374E-2</v>
      </c>
      <c r="AF8" s="3">
        <v>96061</v>
      </c>
      <c r="AG8" s="13">
        <f t="shared" si="16"/>
        <v>2.2475792506186452E-3</v>
      </c>
      <c r="AH8" s="3">
        <v>335905</v>
      </c>
      <c r="AI8" s="13">
        <f t="shared" si="17"/>
        <v>7.8593092740972502E-3</v>
      </c>
      <c r="AJ8" s="65">
        <v>0.55110000000000003</v>
      </c>
      <c r="AK8" s="13">
        <v>0.75819999999999999</v>
      </c>
      <c r="AL8" s="3">
        <v>2853764</v>
      </c>
      <c r="AM8" s="3">
        <v>9160680</v>
      </c>
      <c r="AN8" s="3">
        <f t="shared" si="1"/>
        <v>2853764.0078593092</v>
      </c>
      <c r="AO8" s="3">
        <v>58023249</v>
      </c>
      <c r="AP8" s="3">
        <v>8495214</v>
      </c>
      <c r="AQ8" s="13">
        <f t="shared" si="2"/>
        <v>1.3575941381609504</v>
      </c>
      <c r="AR8" s="13">
        <f t="shared" si="18"/>
        <v>7.2063154788279717E-3</v>
      </c>
      <c r="AS8" s="3">
        <f t="shared" si="19"/>
        <v>10.893274095213387</v>
      </c>
      <c r="AT8" s="13">
        <f>AL8/E8</f>
        <v>6.1223035340712488E-2</v>
      </c>
      <c r="AU8" s="13">
        <f t="shared" si="20"/>
        <v>0.19652803644062999</v>
      </c>
      <c r="AV8" s="13">
        <f t="shared" si="21"/>
        <v>6.1223035509321649E-2</v>
      </c>
      <c r="AW8" s="12">
        <f t="shared" si="22"/>
        <v>275.49662731871837</v>
      </c>
      <c r="AX8" s="20">
        <f>68392170-AY8</f>
        <v>10258467</v>
      </c>
      <c r="AY8" s="20">
        <f t="shared" si="3"/>
        <v>58133703</v>
      </c>
      <c r="AZ8" s="20">
        <v>11879232</v>
      </c>
      <c r="BA8" s="20">
        <f>58133703-AZ8</f>
        <v>46254471</v>
      </c>
    </row>
    <row r="9" spans="1:53">
      <c r="A9" s="1">
        <v>2022</v>
      </c>
      <c r="B9" s="2">
        <v>33062</v>
      </c>
      <c r="C9" s="58">
        <v>46623452</v>
      </c>
      <c r="D9" s="11">
        <f t="shared" si="4"/>
        <v>1410.1824451031396</v>
      </c>
      <c r="E9" s="3">
        <v>43332557</v>
      </c>
      <c r="F9" s="11">
        <f t="shared" si="5"/>
        <v>1310.6453632569112</v>
      </c>
      <c r="G9" s="66">
        <v>10478670</v>
      </c>
      <c r="H9" s="3">
        <v>13764657</v>
      </c>
      <c r="I9" s="3">
        <v>12283132</v>
      </c>
      <c r="J9" s="3">
        <v>0</v>
      </c>
      <c r="K9" s="60">
        <f t="shared" si="0"/>
        <v>0</v>
      </c>
      <c r="L9" s="3">
        <v>21129082</v>
      </c>
      <c r="M9" s="13">
        <f t="shared" si="6"/>
        <v>0.45318570576884781</v>
      </c>
      <c r="N9" s="3">
        <v>8483673</v>
      </c>
      <c r="O9" s="13">
        <f t="shared" si="7"/>
        <v>0.18196149439985695</v>
      </c>
      <c r="P9" s="3">
        <v>1200000</v>
      </c>
      <c r="Q9" s="13">
        <f t="shared" si="8"/>
        <v>2.5738119948733096E-2</v>
      </c>
      <c r="R9" s="3">
        <v>1909816</v>
      </c>
      <c r="S9" s="13">
        <f t="shared" si="9"/>
        <v>4.0962561073341376E-2</v>
      </c>
      <c r="T9" s="3">
        <v>1263352</v>
      </c>
      <c r="U9" s="13">
        <f t="shared" si="10"/>
        <v>2.709692109455988E-2</v>
      </c>
      <c r="V9" s="3">
        <v>5096318</v>
      </c>
      <c r="W9" s="13">
        <f t="shared" si="11"/>
        <v>0.10930803665073963</v>
      </c>
      <c r="X9" s="3">
        <v>5460613</v>
      </c>
      <c r="Y9" s="13">
        <f t="shared" si="12"/>
        <v>0.11712159365634274</v>
      </c>
      <c r="Z9" s="3">
        <v>32400</v>
      </c>
      <c r="AA9" s="13">
        <f t="shared" si="13"/>
        <v>6.9492923861579363E-4</v>
      </c>
      <c r="AB9" s="3">
        <v>319170</v>
      </c>
      <c r="AC9" s="13">
        <f t="shared" si="14"/>
        <v>6.8456964533642854E-3</v>
      </c>
      <c r="AD9" s="3">
        <v>2822515</v>
      </c>
      <c r="AE9" s="13">
        <f t="shared" si="15"/>
        <v>6.0538524689248661E-2</v>
      </c>
      <c r="AF9" s="3">
        <v>-1404527</v>
      </c>
      <c r="AG9" s="13">
        <f t="shared" si="16"/>
        <v>-3.0124903664361876E-2</v>
      </c>
      <c r="AH9" s="3">
        <v>311040</v>
      </c>
      <c r="AI9" s="13">
        <f t="shared" si="17"/>
        <v>6.6713206907116187E-3</v>
      </c>
      <c r="AJ9" s="65">
        <v>0.54830000000000001</v>
      </c>
      <c r="AK9" s="13">
        <v>0.28220000000000001</v>
      </c>
      <c r="AL9" s="3">
        <v>3072032</v>
      </c>
      <c r="AM9" s="3">
        <v>3472727</v>
      </c>
      <c r="AN9" s="3">
        <f t="shared" si="1"/>
        <v>3072032.0066713206</v>
      </c>
      <c r="AO9" s="3">
        <v>27486187</v>
      </c>
      <c r="AP9" s="3">
        <v>2491580</v>
      </c>
      <c r="AQ9" s="13">
        <f t="shared" si="2"/>
        <v>0.58953564828275695</v>
      </c>
      <c r="AR9" s="13">
        <f t="shared" si="18"/>
        <v>7.17797475002456E-3</v>
      </c>
      <c r="AS9" s="3">
        <f t="shared" si="19"/>
        <v>9.4077793236948768</v>
      </c>
      <c r="AT9" s="13">
        <f>AL9/E9</f>
        <v>7.0894316252788872E-2</v>
      </c>
      <c r="AU9" s="13">
        <f t="shared" si="20"/>
        <v>8.0141289608180746E-2</v>
      </c>
      <c r="AV9" s="13">
        <f t="shared" si="21"/>
        <v>7.0894316406745178E-2</v>
      </c>
      <c r="AW9" s="12">
        <f t="shared" si="22"/>
        <v>75.360837214929532</v>
      </c>
      <c r="AX9" s="20">
        <v>19368800</v>
      </c>
      <c r="AY9" s="20">
        <f t="shared" si="3"/>
        <v>51943374</v>
      </c>
      <c r="AZ9" s="20">
        <v>6816565</v>
      </c>
      <c r="BA9" s="20">
        <v>45126809</v>
      </c>
    </row>
    <row r="10" spans="1:53">
      <c r="A10" s="1">
        <v>2023</v>
      </c>
      <c r="B10" s="2">
        <v>33102</v>
      </c>
      <c r="C10" s="58">
        <v>50609731</v>
      </c>
      <c r="D10" s="11">
        <f t="shared" si="4"/>
        <v>1528.9025134432966</v>
      </c>
      <c r="E10" s="3">
        <v>44890847</v>
      </c>
      <c r="F10" s="11">
        <f t="shared" si="5"/>
        <v>1356.1370007854509</v>
      </c>
      <c r="G10" s="66">
        <v>8917075</v>
      </c>
      <c r="H10" s="3">
        <v>14774373</v>
      </c>
      <c r="I10" s="3">
        <v>13150130</v>
      </c>
      <c r="J10" s="3">
        <v>0</v>
      </c>
      <c r="K10" s="60">
        <f t="shared" si="0"/>
        <v>0</v>
      </c>
      <c r="L10" s="3">
        <v>22743087</v>
      </c>
      <c r="M10" s="13">
        <f t="shared" si="6"/>
        <v>0.4493817009222989</v>
      </c>
      <c r="N10" s="3">
        <v>8806477</v>
      </c>
      <c r="O10" s="13">
        <f t="shared" si="7"/>
        <v>0.17400758364038726</v>
      </c>
      <c r="P10" s="3">
        <v>2228190</v>
      </c>
      <c r="Q10" s="13">
        <f t="shared" si="8"/>
        <v>4.4026908580091048E-2</v>
      </c>
      <c r="R10" s="3">
        <v>6454</v>
      </c>
      <c r="S10" s="13">
        <f t="shared" si="9"/>
        <v>1.2752488251715862E-4</v>
      </c>
      <c r="T10" s="3">
        <v>1553396</v>
      </c>
      <c r="U10" s="13">
        <f t="shared" si="10"/>
        <v>3.0693622931921925E-2</v>
      </c>
      <c r="V10" s="3">
        <v>5630362</v>
      </c>
      <c r="W10" s="13">
        <f t="shared" si="11"/>
        <v>0.11125058143462568</v>
      </c>
      <c r="X10" s="3">
        <v>4646705</v>
      </c>
      <c r="Y10" s="13">
        <f t="shared" si="12"/>
        <v>9.181445757931414E-2</v>
      </c>
      <c r="Z10" s="3">
        <v>38126</v>
      </c>
      <c r="AA10" s="13">
        <f t="shared" si="13"/>
        <v>7.5333338562894156E-4</v>
      </c>
      <c r="AB10" s="3">
        <v>416950</v>
      </c>
      <c r="AC10" s="13">
        <f t="shared" si="14"/>
        <v>8.2385342060008176E-3</v>
      </c>
      <c r="AD10" s="3">
        <v>3074624</v>
      </c>
      <c r="AE10" s="13">
        <f t="shared" si="15"/>
        <v>6.0751636873944262E-2</v>
      </c>
      <c r="AF10" s="3">
        <v>605789</v>
      </c>
      <c r="AG10" s="13">
        <f t="shared" si="16"/>
        <v>1.1969812682861326E-2</v>
      </c>
      <c r="AH10" s="3">
        <v>859571</v>
      </c>
      <c r="AI10" s="13">
        <f t="shared" si="17"/>
        <v>1.6984302880408513E-2</v>
      </c>
      <c r="AJ10" s="65">
        <v>0.58150000000000002</v>
      </c>
      <c r="AK10" s="13">
        <v>0.2422</v>
      </c>
      <c r="AL10" s="3">
        <v>3409275</v>
      </c>
      <c r="AM10" s="3">
        <v>2687213</v>
      </c>
      <c r="AN10" s="3">
        <f t="shared" si="1"/>
        <v>3409275.016984303</v>
      </c>
      <c r="AO10" s="3">
        <v>59866665</v>
      </c>
      <c r="AP10" s="3">
        <v>7028633</v>
      </c>
      <c r="AQ10" s="13">
        <f t="shared" si="2"/>
        <v>1.1829081841988056</v>
      </c>
      <c r="AR10" s="13">
        <f t="shared" si="18"/>
        <v>1.9148023649453529E-2</v>
      </c>
      <c r="AS10" s="3">
        <f t="shared" si="19"/>
        <v>25.967343362938795</v>
      </c>
      <c r="AT10" s="13">
        <f>AL10/E10</f>
        <v>7.5945882687399505E-2</v>
      </c>
      <c r="AU10" s="13">
        <f t="shared" si="20"/>
        <v>5.9861044724774298E-2</v>
      </c>
      <c r="AV10" s="13">
        <f t="shared" si="21"/>
        <v>7.5945883065746192E-2</v>
      </c>
      <c r="AW10" s="12">
        <f t="shared" si="22"/>
        <v>212.3325780919582</v>
      </c>
      <c r="AX10" s="20">
        <v>14202494</v>
      </c>
      <c r="AY10" s="20">
        <f t="shared" si="3"/>
        <v>62610886</v>
      </c>
      <c r="AZ10" s="20">
        <v>16775794</v>
      </c>
      <c r="BA10" s="20">
        <v>45835092</v>
      </c>
    </row>
    <row r="11" spans="1:53">
      <c r="A11" s="1">
        <v>2024</v>
      </c>
      <c r="B11" s="2">
        <v>33230</v>
      </c>
      <c r="C11" s="58">
        <v>53533212</v>
      </c>
      <c r="D11" s="11">
        <f t="shared" si="4"/>
        <v>1610.9904303340354</v>
      </c>
      <c r="E11" s="3">
        <v>49518965</v>
      </c>
      <c r="F11" s="11">
        <f t="shared" si="5"/>
        <v>1490.1885344568161</v>
      </c>
      <c r="G11" s="66">
        <v>12366255</v>
      </c>
      <c r="H11" s="3">
        <v>14005932</v>
      </c>
      <c r="I11" s="3">
        <v>14364143</v>
      </c>
      <c r="J11" s="3">
        <v>0</v>
      </c>
      <c r="K11" s="60">
        <f t="shared" si="0"/>
        <v>0</v>
      </c>
      <c r="L11" s="3">
        <v>24227166</v>
      </c>
      <c r="M11" s="13">
        <f t="shared" si="6"/>
        <v>0.45256327978227795</v>
      </c>
      <c r="N11" s="3">
        <v>8071735</v>
      </c>
      <c r="O11" s="13">
        <f t="shared" si="7"/>
        <v>0.15077994946389542</v>
      </c>
      <c r="P11" s="3">
        <v>2367653</v>
      </c>
      <c r="Q11" s="13">
        <f t="shared" si="8"/>
        <v>4.4227740341827422E-2</v>
      </c>
      <c r="R11" s="3">
        <v>5520</v>
      </c>
      <c r="S11" s="13">
        <f t="shared" si="9"/>
        <v>1.0311355873807833E-4</v>
      </c>
      <c r="T11" s="3">
        <v>1157224</v>
      </c>
      <c r="U11" s="13">
        <f t="shared" si="10"/>
        <v>2.1616935669767023E-2</v>
      </c>
      <c r="V11" s="3">
        <v>5913209</v>
      </c>
      <c r="W11" s="13">
        <f t="shared" si="11"/>
        <v>0.11045869991884665</v>
      </c>
      <c r="X11" s="3">
        <v>5913520</v>
      </c>
      <c r="Y11" s="13">
        <f t="shared" si="12"/>
        <v>0.11046450939652191</v>
      </c>
      <c r="Z11" s="3">
        <v>34722</v>
      </c>
      <c r="AA11" s="13">
        <f t="shared" si="13"/>
        <v>6.4860670045354275E-4</v>
      </c>
      <c r="AB11" s="3">
        <v>480634</v>
      </c>
      <c r="AC11" s="13">
        <f t="shared" si="14"/>
        <v>8.9782395272676712E-3</v>
      </c>
      <c r="AD11" s="3">
        <v>2547011</v>
      </c>
      <c r="AE11" s="13">
        <f t="shared" si="15"/>
        <v>4.757814644112892E-2</v>
      </c>
      <c r="AF11" s="3">
        <v>2698736</v>
      </c>
      <c r="AG11" s="13">
        <f t="shared" si="16"/>
        <v>5.0412368306986699E-2</v>
      </c>
      <c r="AH11" s="3">
        <v>516082</v>
      </c>
      <c r="AI11" s="13">
        <f t="shared" si="17"/>
        <v>9.640407902294373E-3</v>
      </c>
      <c r="AJ11" s="65">
        <v>0.54210000000000003</v>
      </c>
      <c r="AK11" s="13">
        <v>0.28070000000000001</v>
      </c>
      <c r="AL11" s="3">
        <v>2342958</v>
      </c>
      <c r="AM11" s="3">
        <v>3878991</v>
      </c>
      <c r="AN11" s="3">
        <f t="shared" si="1"/>
        <v>2342958.0096404077</v>
      </c>
      <c r="AO11" s="3">
        <v>63027669</v>
      </c>
      <c r="AP11" s="3">
        <v>9009446</v>
      </c>
      <c r="AQ11" s="13">
        <f t="shared" si="2"/>
        <v>1.1773563857890688</v>
      </c>
      <c r="AR11" s="13">
        <f t="shared" si="18"/>
        <v>1.0421906031355866E-2</v>
      </c>
      <c r="AS11" s="3">
        <f t="shared" si="19"/>
        <v>15.53060487511285</v>
      </c>
      <c r="AT11" s="13">
        <f>AL11/E11</f>
        <v>4.7314357236666799E-2</v>
      </c>
      <c r="AU11" s="13">
        <f t="shared" si="20"/>
        <v>7.8333442550747978E-2</v>
      </c>
      <c r="AV11" s="13">
        <f t="shared" si="21"/>
        <v>4.7314357431347924E-2</v>
      </c>
      <c r="AW11" s="12">
        <f t="shared" si="22"/>
        <v>271.12386397833285</v>
      </c>
      <c r="AX11" s="20">
        <f>15159123+17530+2400</f>
        <v>15179053</v>
      </c>
      <c r="AY11" s="20">
        <f t="shared" si="3"/>
        <v>66330029</v>
      </c>
      <c r="AZ11" s="20">
        <v>16455165</v>
      </c>
      <c r="BA11" s="20">
        <v>49874864</v>
      </c>
    </row>
    <row r="12" spans="1:53">
      <c r="A12" s="1">
        <v>2025</v>
      </c>
      <c r="B12" s="2">
        <v>33355</v>
      </c>
      <c r="C12" s="58">
        <v>57680467</v>
      </c>
      <c r="D12" s="11">
        <f t="shared" si="4"/>
        <v>1729.2899715185129</v>
      </c>
      <c r="E12" s="3">
        <v>51948554</v>
      </c>
      <c r="F12" s="11">
        <f t="shared" si="5"/>
        <v>1557.4442812172088</v>
      </c>
      <c r="G12" s="66">
        <v>15545674</v>
      </c>
      <c r="H12" s="3">
        <v>5261258</v>
      </c>
      <c r="I12" s="3">
        <v>17041278</v>
      </c>
      <c r="J12" s="3">
        <v>10211049</v>
      </c>
      <c r="K12" s="60">
        <f t="shared" si="0"/>
        <v>0.19656079358821035</v>
      </c>
      <c r="L12" s="3">
        <v>25266865</v>
      </c>
      <c r="M12" s="13">
        <f t="shared" si="6"/>
        <v>0.43804889790507417</v>
      </c>
      <c r="N12" s="3">
        <v>8330978</v>
      </c>
      <c r="O12" s="13">
        <f t="shared" si="7"/>
        <v>0.144433261956773</v>
      </c>
      <c r="P12" s="3">
        <v>2417630</v>
      </c>
      <c r="Q12" s="13">
        <f t="shared" si="8"/>
        <v>4.1914189078947645E-2</v>
      </c>
      <c r="R12" s="3">
        <v>5004</v>
      </c>
      <c r="S12" s="13">
        <f t="shared" si="9"/>
        <v>8.6753805235314762E-5</v>
      </c>
      <c r="T12" s="3">
        <v>1357594</v>
      </c>
      <c r="U12" s="13">
        <f t="shared" si="10"/>
        <v>2.3536459924986392E-2</v>
      </c>
      <c r="V12" s="3">
        <v>9657327</v>
      </c>
      <c r="W12" s="13">
        <f t="shared" si="11"/>
        <v>0.16742803070578469</v>
      </c>
      <c r="X12" s="3">
        <v>5749950</v>
      </c>
      <c r="Y12" s="13">
        <f t="shared" si="12"/>
        <v>9.9686259474979638E-2</v>
      </c>
      <c r="Z12" s="3">
        <v>76161</v>
      </c>
      <c r="AA12" s="13">
        <f t="shared" si="13"/>
        <v>1.3203949961084747E-3</v>
      </c>
      <c r="AB12" s="3">
        <v>420127</v>
      </c>
      <c r="AC12" s="13">
        <f t="shared" si="14"/>
        <v>7.283696229435868E-3</v>
      </c>
      <c r="AD12" s="3">
        <v>1057483</v>
      </c>
      <c r="AE12" s="13">
        <f t="shared" si="15"/>
        <v>1.8333468069875371E-2</v>
      </c>
      <c r="AF12" s="3">
        <v>3151243</v>
      </c>
      <c r="AG12" s="13">
        <f t="shared" si="16"/>
        <v>5.4632758087759588E-2</v>
      </c>
      <c r="AH12" s="3">
        <v>190105</v>
      </c>
      <c r="AI12" s="13">
        <f t="shared" si="17"/>
        <v>3.2958297650398705E-3</v>
      </c>
      <c r="AJ12" s="65">
        <v>0.63590000000000002</v>
      </c>
      <c r="AK12" s="13">
        <v>0.28970000000000001</v>
      </c>
      <c r="AL12" s="3">
        <v>3929739</v>
      </c>
      <c r="AM12" s="3">
        <v>4348001</v>
      </c>
      <c r="AN12" s="3">
        <f>AI12+AL12</f>
        <v>3929739.00329583</v>
      </c>
      <c r="AO12" s="3">
        <v>61403352</v>
      </c>
      <c r="AP12" s="3">
        <v>7489653</v>
      </c>
      <c r="AQ12" s="13">
        <f>AO12/C12</f>
        <v>1.0645432534379446</v>
      </c>
      <c r="AR12" s="13">
        <f t="shared" si="18"/>
        <v>3.6594858828986848E-3</v>
      </c>
      <c r="AS12" s="3">
        <f t="shared" si="19"/>
        <v>5.6994453605156652</v>
      </c>
      <c r="AT12" s="13">
        <f>AL12/E12</f>
        <v>7.5646744662036219E-2</v>
      </c>
      <c r="AU12" s="13">
        <f t="shared" si="20"/>
        <v>8.3698210348646079E-2</v>
      </c>
      <c r="AV12" s="13">
        <f t="shared" si="21"/>
        <v>7.564674472548033E-2</v>
      </c>
      <c r="AW12" s="12">
        <f t="shared" si="22"/>
        <v>224.54363663618648</v>
      </c>
      <c r="AX12" s="20">
        <f>82900610-AY12</f>
        <v>9809478</v>
      </c>
      <c r="AY12" s="20">
        <f>AZ12+BA12</f>
        <v>73091132</v>
      </c>
      <c r="AZ12" s="20">
        <v>20168601</v>
      </c>
      <c r="BA12" s="20">
        <f>73091132-AZ12</f>
        <v>52922531</v>
      </c>
    </row>
    <row r="13" spans="1:53"/>
    <row r="14" spans="1:53"/>
    <row r="15" spans="1:53"/>
    <row r="16" spans="1:53"/>
    <row r="17"/>
    <row r="18"/>
    <row r="19"/>
    <row r="20"/>
  </sheetData>
  <mergeCells count="5">
    <mergeCell ref="AJ1:AW1"/>
    <mergeCell ref="AX1:BA1"/>
    <mergeCell ref="C1:G1"/>
    <mergeCell ref="L1:AI1"/>
    <mergeCell ref="H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A582-ED0B-44DE-B94E-DA8B42249187}">
  <sheetPr>
    <tabColor theme="4"/>
  </sheetPr>
  <dimension ref="A1:AT20"/>
  <sheetViews>
    <sheetView topLeftCell="AL1" workbookViewId="0">
      <selection activeCell="AR3" sqref="AR3:AR12"/>
    </sheetView>
  </sheetViews>
  <sheetFormatPr defaultRowHeight="15" customHeight="1"/>
  <cols>
    <col min="2" max="2" width="10.140625" customWidth="1"/>
    <col min="3" max="3" width="16.28515625" customWidth="1"/>
    <col min="4" max="4" width="16.5703125" customWidth="1"/>
    <col min="5" max="5" width="19.140625" customWidth="1"/>
    <col min="6" max="6" width="19.5703125" customWidth="1"/>
    <col min="7" max="9" width="17.28515625" customWidth="1"/>
    <col min="10" max="10" width="18.140625" customWidth="1"/>
    <col min="11" max="11" width="14.42578125" customWidth="1"/>
    <col min="12" max="12" width="14.85546875" customWidth="1"/>
    <col min="14" max="14" width="13.42578125" customWidth="1"/>
    <col min="15" max="15" width="9.85546875" bestFit="1" customWidth="1"/>
    <col min="16" max="16" width="17.5703125" customWidth="1"/>
    <col min="18" max="18" width="19.5703125" customWidth="1"/>
    <col min="20" max="20" width="12.85546875" customWidth="1"/>
    <col min="22" max="22" width="15.28515625" customWidth="1"/>
    <col min="23" max="23" width="12" customWidth="1"/>
    <col min="24" max="24" width="18.42578125" customWidth="1"/>
    <col min="26" max="26" width="13.42578125" customWidth="1"/>
    <col min="27" max="27" width="11" customWidth="1"/>
    <col min="28" max="28" width="13" customWidth="1"/>
    <col min="29" max="29" width="13.140625" customWidth="1"/>
    <col min="30" max="30" width="12.42578125" customWidth="1"/>
    <col min="31" max="31" width="16" customWidth="1"/>
    <col min="32" max="32" width="19.7109375" customWidth="1"/>
    <col min="33" max="33" width="20.7109375" customWidth="1"/>
    <col min="34" max="34" width="20.140625" customWidth="1"/>
    <col min="35" max="35" width="19.85546875" customWidth="1"/>
    <col min="36" max="36" width="17.140625" customWidth="1"/>
    <col min="37" max="37" width="13.85546875" customWidth="1"/>
    <col min="38" max="38" width="18.7109375" customWidth="1"/>
    <col min="39" max="40" width="17.85546875" customWidth="1"/>
    <col min="41" max="41" width="13.42578125" customWidth="1"/>
    <col min="42" max="43" width="15.140625" customWidth="1"/>
    <col min="44" max="44" width="16.7109375" customWidth="1"/>
    <col min="45" max="45" width="15" customWidth="1"/>
    <col min="46" max="46" width="18.28515625" customWidth="1"/>
  </cols>
  <sheetData>
    <row r="1" spans="1:46">
      <c r="C1" s="114" t="s">
        <v>0</v>
      </c>
      <c r="D1" s="112"/>
      <c r="E1" s="112"/>
      <c r="F1" s="112"/>
      <c r="G1" s="113"/>
      <c r="H1" s="112" t="s">
        <v>57</v>
      </c>
      <c r="I1" s="112"/>
      <c r="J1" s="112"/>
      <c r="K1" s="113"/>
      <c r="L1" s="115" t="s">
        <v>2</v>
      </c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4" t="s">
        <v>3</v>
      </c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3"/>
      <c r="AQ1" s="112" t="s">
        <v>4</v>
      </c>
      <c r="AR1" s="112"/>
      <c r="AS1" s="112"/>
      <c r="AT1" s="113"/>
    </row>
    <row r="2" spans="1:46" ht="43.5" customHeight="1">
      <c r="A2" s="21" t="s">
        <v>5</v>
      </c>
      <c r="B2" s="21" t="s">
        <v>6</v>
      </c>
      <c r="C2" s="72" t="s">
        <v>7</v>
      </c>
      <c r="D2" s="71" t="s">
        <v>8</v>
      </c>
      <c r="E2" s="71" t="s">
        <v>9</v>
      </c>
      <c r="F2" s="71" t="s">
        <v>10</v>
      </c>
      <c r="G2" s="73" t="s">
        <v>11</v>
      </c>
      <c r="H2" s="71" t="s">
        <v>102</v>
      </c>
      <c r="I2" s="71" t="s">
        <v>12</v>
      </c>
      <c r="J2" s="71" t="s">
        <v>14</v>
      </c>
      <c r="K2" s="73" t="s">
        <v>15</v>
      </c>
      <c r="L2" s="22" t="s">
        <v>16</v>
      </c>
      <c r="M2" s="22" t="s">
        <v>17</v>
      </c>
      <c r="N2" s="22" t="s">
        <v>103</v>
      </c>
      <c r="O2" s="22" t="s">
        <v>104</v>
      </c>
      <c r="P2" s="22" t="s">
        <v>89</v>
      </c>
      <c r="Q2" s="22" t="s">
        <v>104</v>
      </c>
      <c r="R2" s="22" t="s">
        <v>105</v>
      </c>
      <c r="S2" s="22" t="s">
        <v>91</v>
      </c>
      <c r="T2" s="22" t="s">
        <v>106</v>
      </c>
      <c r="U2" s="22" t="s">
        <v>82</v>
      </c>
      <c r="V2" s="22" t="s">
        <v>83</v>
      </c>
      <c r="W2" s="22" t="s">
        <v>107</v>
      </c>
      <c r="X2" s="22" t="s">
        <v>67</v>
      </c>
      <c r="Y2" s="22" t="s">
        <v>85</v>
      </c>
      <c r="Z2" s="22" t="s">
        <v>108</v>
      </c>
      <c r="AA2" s="22" t="s">
        <v>98</v>
      </c>
      <c r="AB2" s="22" t="s">
        <v>36</v>
      </c>
      <c r="AC2" s="22" t="s">
        <v>37</v>
      </c>
      <c r="AD2" s="74" t="s">
        <v>109</v>
      </c>
      <c r="AE2" s="22" t="s">
        <v>110</v>
      </c>
      <c r="AF2" s="22" t="s">
        <v>40</v>
      </c>
      <c r="AG2" s="22" t="s">
        <v>41</v>
      </c>
      <c r="AH2" s="22" t="s">
        <v>42</v>
      </c>
      <c r="AI2" s="22" t="s">
        <v>43</v>
      </c>
      <c r="AJ2" s="22" t="s">
        <v>44</v>
      </c>
      <c r="AK2" s="22" t="s">
        <v>45</v>
      </c>
      <c r="AL2" s="22" t="s">
        <v>46</v>
      </c>
      <c r="AM2" s="22" t="s">
        <v>47</v>
      </c>
      <c r="AN2" s="22" t="s">
        <v>71</v>
      </c>
      <c r="AO2" s="22" t="s">
        <v>111</v>
      </c>
      <c r="AP2" s="75" t="s">
        <v>51</v>
      </c>
      <c r="AQ2" s="22" t="s">
        <v>88</v>
      </c>
      <c r="AR2" s="22" t="s">
        <v>53</v>
      </c>
      <c r="AS2" s="22" t="s">
        <v>54</v>
      </c>
      <c r="AT2" s="75" t="s">
        <v>55</v>
      </c>
    </row>
    <row r="3" spans="1:46">
      <c r="A3">
        <v>2016</v>
      </c>
      <c r="B3" s="2">
        <v>43645</v>
      </c>
      <c r="C3" s="58">
        <v>34652593</v>
      </c>
      <c r="D3" s="11">
        <f>C3/B3</f>
        <v>793.96478405315611</v>
      </c>
      <c r="E3" s="3">
        <v>32293052</v>
      </c>
      <c r="F3" s="11">
        <f>E3/B3</f>
        <v>739.90266926337495</v>
      </c>
      <c r="G3" s="66">
        <v>9358068</v>
      </c>
      <c r="H3" s="3">
        <v>0</v>
      </c>
      <c r="I3" s="3">
        <v>0</v>
      </c>
      <c r="J3" s="3">
        <v>17546016</v>
      </c>
      <c r="K3" s="60">
        <f t="shared" ref="K3:K12" si="0">J3/E3</f>
        <v>0.5433371859680528</v>
      </c>
      <c r="L3" s="3">
        <v>10023019</v>
      </c>
      <c r="M3" s="13">
        <v>0.28920000000000001</v>
      </c>
      <c r="N3" s="1" t="s">
        <v>56</v>
      </c>
      <c r="O3" s="13" t="e">
        <f t="shared" ref="O3:O11" si="1">N3/C3</f>
        <v>#VALUE!</v>
      </c>
      <c r="P3" s="3">
        <v>9437549</v>
      </c>
      <c r="Q3" s="13">
        <f t="shared" ref="Q3:Q11" si="2">P3/C3</f>
        <v>0.27234755563602414</v>
      </c>
      <c r="R3" s="3">
        <v>4585883</v>
      </c>
      <c r="S3" s="13">
        <f t="shared" ref="S3:S11" si="3">R3/C3</f>
        <v>0.132338812278781</v>
      </c>
      <c r="T3" s="3">
        <v>198342</v>
      </c>
      <c r="U3" s="13">
        <f t="shared" ref="U3:U11" si="4">T3/C3</f>
        <v>5.7237275144171752E-3</v>
      </c>
      <c r="V3" s="3">
        <v>518209</v>
      </c>
      <c r="W3" s="13">
        <f t="shared" ref="W3:W11" si="5">V3/C3</f>
        <v>1.4954407596568603E-2</v>
      </c>
      <c r="X3" s="3">
        <v>8223274</v>
      </c>
      <c r="Y3" s="13">
        <f t="shared" ref="Y3:Y11" si="6">X3/C3</f>
        <v>0.23730616638125754</v>
      </c>
      <c r="Z3" s="3">
        <v>1124182</v>
      </c>
      <c r="AA3" s="13">
        <f t="shared" ref="AA3:AA11" si="7">Z3/C3</f>
        <v>3.2441497235141968E-2</v>
      </c>
      <c r="AB3" s="3">
        <v>542135</v>
      </c>
      <c r="AC3" s="13">
        <f t="shared" ref="AC3:AC11" si="8">AB3/C3</f>
        <v>1.5644860977647473E-2</v>
      </c>
      <c r="AD3" s="65">
        <v>0.77410000000000001</v>
      </c>
      <c r="AE3" s="13">
        <v>0.78400000000000003</v>
      </c>
      <c r="AF3" s="3">
        <v>32320732</v>
      </c>
      <c r="AG3" s="3">
        <v>2590587</v>
      </c>
      <c r="AH3" s="3">
        <v>1778790</v>
      </c>
      <c r="AI3" s="3">
        <v>4369377</v>
      </c>
      <c r="AJ3" s="3">
        <v>1119070</v>
      </c>
      <c r="AK3" s="13">
        <f t="shared" ref="AK3:AK11" si="9">AF3/C3</f>
        <v>0.93270746001605132</v>
      </c>
      <c r="AL3" s="13">
        <f>AF3/E3</f>
        <v>1.0008571503244723</v>
      </c>
      <c r="AM3" s="3">
        <f>AF3/B3</f>
        <v>740.536877076412</v>
      </c>
      <c r="AN3" s="13">
        <f>AI3/E3</f>
        <v>0.13530393472874599</v>
      </c>
      <c r="AO3" s="13">
        <f>AG3/E3</f>
        <v>8.0221188136692684E-2</v>
      </c>
      <c r="AP3" s="66">
        <f>AJ3/B3</f>
        <v>25.64027952801008</v>
      </c>
      <c r="AQ3" s="3">
        <v>5367095</v>
      </c>
      <c r="AR3" s="82">
        <f t="shared" ref="AR3:AR11" si="10">AS3+AT3</f>
        <v>132953285</v>
      </c>
      <c r="AS3" s="82">
        <v>51861200</v>
      </c>
      <c r="AT3" s="83">
        <f>132953285-AS3</f>
        <v>81092085</v>
      </c>
    </row>
    <row r="4" spans="1:46">
      <c r="A4">
        <v>2017</v>
      </c>
      <c r="B4" s="2">
        <v>44145</v>
      </c>
      <c r="C4" s="58">
        <v>35364556</v>
      </c>
      <c r="D4" s="11">
        <f t="shared" ref="D4:D12" si="11">C4/B4</f>
        <v>801.0999207158228</v>
      </c>
      <c r="E4" s="3">
        <v>35426511</v>
      </c>
      <c r="F4" s="11">
        <f t="shared" ref="F4:F12" si="12">E4/B4</f>
        <v>802.50336391437304</v>
      </c>
      <c r="G4" s="66">
        <v>9158669</v>
      </c>
      <c r="H4" s="3">
        <v>0</v>
      </c>
      <c r="I4" s="3">
        <v>0</v>
      </c>
      <c r="J4" s="3">
        <v>14379374</v>
      </c>
      <c r="K4" s="60">
        <f t="shared" si="0"/>
        <v>0.40589303304522423</v>
      </c>
      <c r="L4" s="3">
        <v>10685110</v>
      </c>
      <c r="M4" s="13">
        <v>0.30209999999999998</v>
      </c>
      <c r="N4" s="1" t="s">
        <v>56</v>
      </c>
      <c r="O4" s="13" t="e">
        <f t="shared" si="1"/>
        <v>#VALUE!</v>
      </c>
      <c r="P4" s="3">
        <v>9734686</v>
      </c>
      <c r="Q4" s="13">
        <f t="shared" si="2"/>
        <v>0.27526673882177399</v>
      </c>
      <c r="R4" s="3">
        <v>5198405</v>
      </c>
      <c r="S4" s="13">
        <f t="shared" si="3"/>
        <v>0.14699477635178002</v>
      </c>
      <c r="T4" s="3">
        <v>194186</v>
      </c>
      <c r="U4" s="13">
        <f t="shared" si="4"/>
        <v>5.4909780289621058E-3</v>
      </c>
      <c r="V4" s="3">
        <v>512733</v>
      </c>
      <c r="W4" s="13">
        <f t="shared" si="5"/>
        <v>1.449849957115254E-2</v>
      </c>
      <c r="X4" s="3">
        <v>8336617</v>
      </c>
      <c r="Y4" s="13">
        <f t="shared" si="6"/>
        <v>0.23573368205159992</v>
      </c>
      <c r="Z4" s="3">
        <v>-12669</v>
      </c>
      <c r="AA4" s="13">
        <f t="shared" si="7"/>
        <v>-3.582400412435547E-4</v>
      </c>
      <c r="AB4" s="3">
        <v>715488</v>
      </c>
      <c r="AC4" s="13">
        <f t="shared" si="8"/>
        <v>2.0231782352929866E-2</v>
      </c>
      <c r="AD4" s="65">
        <v>0.73370000000000002</v>
      </c>
      <c r="AE4" s="13">
        <v>0.74060000000000004</v>
      </c>
      <c r="AF4" s="3">
        <v>40055704</v>
      </c>
      <c r="AG4" s="3">
        <v>2518266</v>
      </c>
      <c r="AH4" s="3">
        <v>1902125</v>
      </c>
      <c r="AI4" s="3">
        <v>4420391</v>
      </c>
      <c r="AJ4" s="3">
        <v>1041729</v>
      </c>
      <c r="AK4" s="13">
        <f t="shared" si="9"/>
        <v>1.1326511210829284</v>
      </c>
      <c r="AL4" s="13">
        <f t="shared" ref="AL4:AL12" si="13">AF4/E4</f>
        <v>1.1306703050718148</v>
      </c>
      <c r="AM4" s="3">
        <f t="shared" ref="AM4:AM12" si="14">AF4/B4</f>
        <v>907.36672329822181</v>
      </c>
      <c r="AN4" s="13">
        <f t="shared" ref="AN4:AN12" si="15">AI4/E4</f>
        <v>0.1247763574572726</v>
      </c>
      <c r="AO4" s="13">
        <f t="shared" ref="AO4:AO12" si="16">AG4/E4</f>
        <v>7.1084222773165548E-2</v>
      </c>
      <c r="AP4" s="66">
        <f t="shared" ref="AP4:AP12" si="17">AJ4/B4</f>
        <v>23.597893306150187</v>
      </c>
      <c r="AQ4" s="3">
        <v>2844869</v>
      </c>
      <c r="AR4" s="82">
        <f t="shared" si="10"/>
        <v>130694619</v>
      </c>
      <c r="AS4" s="82">
        <v>45932081</v>
      </c>
      <c r="AT4" s="83">
        <f>130694619-AS4</f>
        <v>84762538</v>
      </c>
    </row>
    <row r="5" spans="1:46">
      <c r="A5">
        <v>2018</v>
      </c>
      <c r="B5" s="2">
        <v>44513</v>
      </c>
      <c r="C5" s="58">
        <v>37643866</v>
      </c>
      <c r="D5" s="11">
        <f t="shared" si="11"/>
        <v>845.68251971334212</v>
      </c>
      <c r="E5" s="3">
        <v>36485195</v>
      </c>
      <c r="F5" s="11">
        <f t="shared" si="12"/>
        <v>819.65257340552193</v>
      </c>
      <c r="G5" s="66">
        <v>13339395</v>
      </c>
      <c r="H5" s="3">
        <v>0</v>
      </c>
      <c r="I5" s="3">
        <v>0</v>
      </c>
      <c r="J5" s="3">
        <v>14715819</v>
      </c>
      <c r="K5" s="60">
        <f t="shared" si="0"/>
        <v>0.40333672329283149</v>
      </c>
      <c r="L5" s="3">
        <v>11359893</v>
      </c>
      <c r="M5" s="13">
        <v>0.30180000000000001</v>
      </c>
      <c r="N5" s="1" t="s">
        <v>56</v>
      </c>
      <c r="O5" s="13" t="e">
        <f t="shared" si="1"/>
        <v>#VALUE!</v>
      </c>
      <c r="P5" s="3">
        <v>10358420</v>
      </c>
      <c r="Q5" s="13">
        <f t="shared" si="2"/>
        <v>0.27516886814972724</v>
      </c>
      <c r="R5" s="3">
        <v>5478690</v>
      </c>
      <c r="S5" s="13">
        <f t="shared" si="3"/>
        <v>0.14554004628536293</v>
      </c>
      <c r="T5" s="3">
        <v>211275</v>
      </c>
      <c r="U5" s="13">
        <f t="shared" si="4"/>
        <v>5.6124681774183342E-3</v>
      </c>
      <c r="V5" s="3">
        <v>382290</v>
      </c>
      <c r="W5" s="13">
        <f t="shared" si="5"/>
        <v>1.0155439401468489E-2</v>
      </c>
      <c r="X5" s="3">
        <v>8928605</v>
      </c>
      <c r="Y5" s="13">
        <f t="shared" si="6"/>
        <v>0.2371861859246869</v>
      </c>
      <c r="Z5" s="3">
        <v>-73776</v>
      </c>
      <c r="AA5" s="13">
        <f t="shared" si="7"/>
        <v>-1.9598412129083662E-3</v>
      </c>
      <c r="AB5" s="3">
        <v>998469</v>
      </c>
      <c r="AC5" s="13">
        <f t="shared" si="8"/>
        <v>2.6524082303342595E-2</v>
      </c>
      <c r="AD5" s="65">
        <v>0.73270000000000002</v>
      </c>
      <c r="AE5" s="13">
        <v>0.73309999999999997</v>
      </c>
      <c r="AF5" s="3">
        <v>45062944</v>
      </c>
      <c r="AG5" s="3">
        <v>2950037</v>
      </c>
      <c r="AH5" s="3">
        <v>2110520</v>
      </c>
      <c r="AI5" s="3">
        <v>5060557</v>
      </c>
      <c r="AJ5" s="3">
        <v>4465185</v>
      </c>
      <c r="AK5" s="13">
        <f t="shared" si="9"/>
        <v>1.1970859741132858</v>
      </c>
      <c r="AL5" s="13">
        <f t="shared" si="13"/>
        <v>1.2351021832280189</v>
      </c>
      <c r="AM5" s="3">
        <f t="shared" si="14"/>
        <v>1012.3546829016243</v>
      </c>
      <c r="AN5" s="13">
        <f t="shared" si="15"/>
        <v>0.13870165693235298</v>
      </c>
      <c r="AO5" s="13">
        <f t="shared" si="16"/>
        <v>8.0855727919228612E-2</v>
      </c>
      <c r="AP5" s="66">
        <f t="shared" si="17"/>
        <v>100.31193134589896</v>
      </c>
      <c r="AQ5" s="3">
        <v>2523481</v>
      </c>
      <c r="AR5" s="82">
        <f t="shared" si="10"/>
        <v>132954212</v>
      </c>
      <c r="AS5" s="82">
        <v>46889256</v>
      </c>
      <c r="AT5" s="83">
        <f>132954212-AS5</f>
        <v>86064956</v>
      </c>
    </row>
    <row r="6" spans="1:46">
      <c r="A6" s="1">
        <v>2019</v>
      </c>
      <c r="B6" s="2">
        <v>45742</v>
      </c>
      <c r="C6" s="58">
        <v>43931138</v>
      </c>
      <c r="D6" s="11">
        <f t="shared" si="11"/>
        <v>960.41139434218007</v>
      </c>
      <c r="E6" s="3">
        <v>39527013</v>
      </c>
      <c r="F6" s="11">
        <f t="shared" si="12"/>
        <v>864.12953084692401</v>
      </c>
      <c r="G6" s="66">
        <v>14101650</v>
      </c>
      <c r="H6" s="3">
        <v>0</v>
      </c>
      <c r="I6" s="3">
        <v>0</v>
      </c>
      <c r="J6" s="3">
        <v>18751008</v>
      </c>
      <c r="K6" s="60">
        <f t="shared" si="0"/>
        <v>0.47438464424316606</v>
      </c>
      <c r="L6" s="3">
        <v>12761577</v>
      </c>
      <c r="M6" s="13">
        <v>0.29049999999999998</v>
      </c>
      <c r="N6" s="1" t="s">
        <v>56</v>
      </c>
      <c r="O6" s="13" t="e">
        <f t="shared" si="1"/>
        <v>#VALUE!</v>
      </c>
      <c r="P6" s="3">
        <v>10651629</v>
      </c>
      <c r="Q6" s="13">
        <f t="shared" si="2"/>
        <v>0.2424619412317523</v>
      </c>
      <c r="R6" s="3">
        <v>5764566</v>
      </c>
      <c r="S6" s="13">
        <f t="shared" si="3"/>
        <v>0.13121822612471365</v>
      </c>
      <c r="T6" s="3">
        <v>207393</v>
      </c>
      <c r="U6" s="13">
        <f t="shared" si="4"/>
        <v>4.7208656420418705E-3</v>
      </c>
      <c r="V6" s="3">
        <v>1022798</v>
      </c>
      <c r="W6" s="13">
        <f t="shared" si="5"/>
        <v>2.3281846238538143E-2</v>
      </c>
      <c r="X6" s="3">
        <v>9295145</v>
      </c>
      <c r="Y6" s="13">
        <f t="shared" si="6"/>
        <v>0.21158443471234459</v>
      </c>
      <c r="Z6" s="3">
        <v>3552363</v>
      </c>
      <c r="AA6" s="13">
        <f t="shared" si="7"/>
        <v>8.0862075551059023E-2</v>
      </c>
      <c r="AB6" s="3">
        <v>675667</v>
      </c>
      <c r="AC6" s="13">
        <f t="shared" si="8"/>
        <v>1.538013879813448E-2</v>
      </c>
      <c r="AD6" s="65">
        <v>0.74299999999999999</v>
      </c>
      <c r="AE6" s="13">
        <v>0.75260000000000005</v>
      </c>
      <c r="AF6" s="3">
        <v>45891565</v>
      </c>
      <c r="AG6" s="3">
        <v>3275042</v>
      </c>
      <c r="AH6" s="3">
        <v>2232536</v>
      </c>
      <c r="AI6" s="3">
        <v>5507578</v>
      </c>
      <c r="AJ6" s="3">
        <v>4777035</v>
      </c>
      <c r="AK6" s="13">
        <f t="shared" si="9"/>
        <v>1.0446249992431336</v>
      </c>
      <c r="AL6" s="13">
        <f t="shared" si="13"/>
        <v>1.1610177829526354</v>
      </c>
      <c r="AM6" s="3">
        <f t="shared" si="14"/>
        <v>1003.2697520877967</v>
      </c>
      <c r="AN6" s="13">
        <f t="shared" si="15"/>
        <v>0.13933706551517061</v>
      </c>
      <c r="AO6" s="13">
        <f t="shared" si="16"/>
        <v>8.2855792821987337E-2</v>
      </c>
      <c r="AP6" s="66">
        <f t="shared" si="17"/>
        <v>104.43432731406585</v>
      </c>
      <c r="AQ6" s="3">
        <v>1061565</v>
      </c>
      <c r="AR6" s="82">
        <f t="shared" si="10"/>
        <v>144382572</v>
      </c>
      <c r="AS6" s="82">
        <v>55076023</v>
      </c>
      <c r="AT6" s="83">
        <f>144382572-AS6</f>
        <v>89306549</v>
      </c>
    </row>
    <row r="7" spans="1:46">
      <c r="A7" s="1">
        <v>2020</v>
      </c>
      <c r="B7" s="2">
        <v>46454</v>
      </c>
      <c r="C7" s="58">
        <v>41291537</v>
      </c>
      <c r="D7" s="11">
        <f t="shared" si="11"/>
        <v>888.86935463038708</v>
      </c>
      <c r="E7" s="3">
        <v>40122066</v>
      </c>
      <c r="F7" s="11">
        <f t="shared" si="12"/>
        <v>863.69453653076164</v>
      </c>
      <c r="G7" s="66">
        <v>14775512</v>
      </c>
      <c r="H7" s="3">
        <v>0</v>
      </c>
      <c r="I7" s="3">
        <v>0</v>
      </c>
      <c r="J7" s="3">
        <v>19980233</v>
      </c>
      <c r="K7" s="60">
        <f t="shared" si="0"/>
        <v>0.4979861455788443</v>
      </c>
      <c r="L7" s="3">
        <v>14464689</v>
      </c>
      <c r="M7" s="13">
        <v>0.3503</v>
      </c>
      <c r="N7" s="1" t="s">
        <v>56</v>
      </c>
      <c r="O7" s="13" t="e">
        <f t="shared" si="1"/>
        <v>#VALUE!</v>
      </c>
      <c r="P7" s="3">
        <v>9851376</v>
      </c>
      <c r="Q7" s="13">
        <f t="shared" si="2"/>
        <v>0.23858099542286354</v>
      </c>
      <c r="R7" s="3">
        <v>5129479</v>
      </c>
      <c r="S7" s="13">
        <f t="shared" si="3"/>
        <v>0.12422591583355204</v>
      </c>
      <c r="T7" s="3">
        <v>152642</v>
      </c>
      <c r="U7" s="13">
        <f t="shared" si="4"/>
        <v>3.6966897115018995E-3</v>
      </c>
      <c r="V7" s="3">
        <v>1142197</v>
      </c>
      <c r="W7" s="13">
        <f t="shared" si="5"/>
        <v>2.7661770013550233E-2</v>
      </c>
      <c r="X7" s="3">
        <v>7678364</v>
      </c>
      <c r="Y7" s="13">
        <f t="shared" si="6"/>
        <v>0.18595490887152008</v>
      </c>
      <c r="Z7" s="3">
        <v>2378895</v>
      </c>
      <c r="AA7" s="13">
        <f t="shared" si="7"/>
        <v>5.7612168808344431E-2</v>
      </c>
      <c r="AB7" s="3">
        <v>493895</v>
      </c>
      <c r="AC7" s="13">
        <f t="shared" si="8"/>
        <v>1.1961167732748723E-2</v>
      </c>
      <c r="AD7" s="65">
        <v>0.73619999999999997</v>
      </c>
      <c r="AE7" s="13">
        <v>0.75260000000000005</v>
      </c>
      <c r="AF7" s="3">
        <v>50048287</v>
      </c>
      <c r="AG7" s="3">
        <v>3646492</v>
      </c>
      <c r="AH7" s="3">
        <v>2480901</v>
      </c>
      <c r="AI7" s="3">
        <v>6127393</v>
      </c>
      <c r="AJ7" s="3">
        <v>2258102</v>
      </c>
      <c r="AK7" s="13">
        <f t="shared" si="9"/>
        <v>1.2120713016810201</v>
      </c>
      <c r="AL7" s="13">
        <f t="shared" si="13"/>
        <v>1.2474005451264649</v>
      </c>
      <c r="AM7" s="3">
        <f t="shared" si="14"/>
        <v>1077.3730356912215</v>
      </c>
      <c r="AN7" s="13">
        <f t="shared" si="15"/>
        <v>0.15271878073277681</v>
      </c>
      <c r="AO7" s="13">
        <f t="shared" si="16"/>
        <v>9.0884950939465581E-2</v>
      </c>
      <c r="AP7" s="66">
        <f t="shared" si="17"/>
        <v>48.609420071468548</v>
      </c>
      <c r="AQ7" s="3">
        <v>3418810</v>
      </c>
      <c r="AR7" s="82">
        <f t="shared" si="10"/>
        <v>146978173</v>
      </c>
      <c r="AS7" s="82">
        <v>75356521</v>
      </c>
      <c r="AT7" s="83">
        <f>146978173-AS7</f>
        <v>71621652</v>
      </c>
    </row>
    <row r="8" spans="1:46">
      <c r="A8" s="1">
        <v>2021</v>
      </c>
      <c r="B8" s="2">
        <v>47374</v>
      </c>
      <c r="C8" s="58">
        <v>44324580</v>
      </c>
      <c r="D8" s="11">
        <f t="shared" si="11"/>
        <v>935.63093680077679</v>
      </c>
      <c r="E8" s="3">
        <v>37357960</v>
      </c>
      <c r="F8" s="11">
        <f t="shared" si="12"/>
        <v>788.57516781356867</v>
      </c>
      <c r="G8" s="66">
        <v>15955677</v>
      </c>
      <c r="H8" s="3">
        <v>0</v>
      </c>
      <c r="I8" s="3">
        <v>0</v>
      </c>
      <c r="J8" s="3">
        <v>26795507</v>
      </c>
      <c r="K8" s="60">
        <f t="shared" si="0"/>
        <v>0.71726365679496418</v>
      </c>
      <c r="L8" s="3">
        <v>16041590</v>
      </c>
      <c r="M8" s="13">
        <v>0.3619</v>
      </c>
      <c r="N8" s="1" t="s">
        <v>56</v>
      </c>
      <c r="O8" s="13" t="e">
        <f t="shared" si="1"/>
        <v>#VALUE!</v>
      </c>
      <c r="P8" s="3">
        <v>10962621</v>
      </c>
      <c r="Q8" s="13">
        <f t="shared" si="2"/>
        <v>0.24732599835125341</v>
      </c>
      <c r="R8" s="3">
        <v>4417893</v>
      </c>
      <c r="S8" s="13">
        <f t="shared" si="3"/>
        <v>9.9671401285697458E-2</v>
      </c>
      <c r="T8" s="3">
        <v>141280</v>
      </c>
      <c r="U8" s="13">
        <f t="shared" si="4"/>
        <v>3.1873962483118848E-3</v>
      </c>
      <c r="V8" s="3">
        <v>6815131</v>
      </c>
      <c r="W8" s="13">
        <f t="shared" si="5"/>
        <v>0.15375511736377423</v>
      </c>
      <c r="X8" s="3">
        <v>5571693</v>
      </c>
      <c r="Y8" s="13">
        <f t="shared" si="6"/>
        <v>0.12570210479151747</v>
      </c>
      <c r="Z8" s="3">
        <v>-89494</v>
      </c>
      <c r="AA8" s="13">
        <f t="shared" si="7"/>
        <v>-2.0190603046887304E-3</v>
      </c>
      <c r="AB8" s="3">
        <v>463875</v>
      </c>
      <c r="AC8" s="13">
        <f t="shared" si="8"/>
        <v>1.0465412193415031E-2</v>
      </c>
      <c r="AD8" s="65">
        <v>0.74</v>
      </c>
      <c r="AE8" s="13">
        <v>0.751</v>
      </c>
      <c r="AF8" s="3">
        <v>52550703</v>
      </c>
      <c r="AG8" s="3">
        <v>3729194</v>
      </c>
      <c r="AH8" s="3">
        <v>2519728</v>
      </c>
      <c r="AI8" s="3">
        <v>6248922</v>
      </c>
      <c r="AJ8" s="3">
        <v>3789045</v>
      </c>
      <c r="AK8" s="13">
        <f t="shared" si="9"/>
        <v>1.1855882898382792</v>
      </c>
      <c r="AL8" s="13">
        <f t="shared" si="13"/>
        <v>1.4066802095189352</v>
      </c>
      <c r="AM8" s="3">
        <f t="shared" si="14"/>
        <v>1109.2730822814201</v>
      </c>
      <c r="AN8" s="13">
        <f t="shared" si="15"/>
        <v>0.16727149983564413</v>
      </c>
      <c r="AO8" s="13">
        <f t="shared" si="16"/>
        <v>9.9823277288160275E-2</v>
      </c>
      <c r="AP8" s="66">
        <f t="shared" si="17"/>
        <v>79.981529953138846</v>
      </c>
      <c r="AQ8" s="3">
        <v>2311918</v>
      </c>
      <c r="AR8" s="82">
        <f t="shared" si="10"/>
        <v>165400961</v>
      </c>
      <c r="AS8" s="82">
        <v>96315626</v>
      </c>
      <c r="AT8" s="83">
        <f>165400961-AS8</f>
        <v>69085335</v>
      </c>
    </row>
    <row r="9" spans="1:46">
      <c r="A9" s="1">
        <v>2022</v>
      </c>
      <c r="B9" s="2">
        <v>46451</v>
      </c>
      <c r="C9" s="58">
        <v>49419305</v>
      </c>
      <c r="D9" s="11">
        <f t="shared" si="11"/>
        <v>1063.9018535661235</v>
      </c>
      <c r="E9" s="3">
        <v>43466020</v>
      </c>
      <c r="F9" s="11">
        <f t="shared" si="12"/>
        <v>935.73916600288476</v>
      </c>
      <c r="G9" s="66">
        <v>22020790</v>
      </c>
      <c r="H9" s="3">
        <v>0</v>
      </c>
      <c r="I9" s="3">
        <v>0</v>
      </c>
      <c r="J9" s="3">
        <v>32450008</v>
      </c>
      <c r="K9" s="60">
        <f t="shared" si="0"/>
        <v>0.74656037060674063</v>
      </c>
      <c r="L9" s="3">
        <v>16662896</v>
      </c>
      <c r="M9" s="13">
        <v>0.3372</v>
      </c>
      <c r="N9" s="1" t="s">
        <v>56</v>
      </c>
      <c r="O9" s="13" t="e">
        <f t="shared" si="1"/>
        <v>#VALUE!</v>
      </c>
      <c r="P9" s="3">
        <v>12944783</v>
      </c>
      <c r="Q9" s="13">
        <f t="shared" si="2"/>
        <v>0.26193777917354361</v>
      </c>
      <c r="R9" s="3">
        <v>5925914</v>
      </c>
      <c r="S9" s="13">
        <f t="shared" si="3"/>
        <v>0.11991091335663259</v>
      </c>
      <c r="T9" s="3">
        <v>296030</v>
      </c>
      <c r="U9" s="13">
        <f t="shared" si="4"/>
        <v>5.9901692263782339E-3</v>
      </c>
      <c r="V9" s="3">
        <v>6162841</v>
      </c>
      <c r="W9" s="13">
        <f t="shared" si="5"/>
        <v>0.12470513294349243</v>
      </c>
      <c r="X9" s="3">
        <v>6852215</v>
      </c>
      <c r="Y9" s="13">
        <f t="shared" si="6"/>
        <v>0.13865462090169015</v>
      </c>
      <c r="Z9" s="3">
        <v>223167</v>
      </c>
      <c r="AA9" s="13">
        <f t="shared" si="7"/>
        <v>4.515785885697907E-3</v>
      </c>
      <c r="AB9" s="3">
        <v>351459</v>
      </c>
      <c r="AC9" s="13">
        <f t="shared" si="8"/>
        <v>7.1117754488858147E-3</v>
      </c>
      <c r="AD9" s="65">
        <v>0.85719999999999996</v>
      </c>
      <c r="AE9" s="13">
        <v>0.88290000000000002</v>
      </c>
      <c r="AF9" s="3">
        <v>32135323</v>
      </c>
      <c r="AG9" s="3">
        <v>3679364</v>
      </c>
      <c r="AH9" s="3">
        <v>2718406</v>
      </c>
      <c r="AI9" s="3">
        <v>6397770</v>
      </c>
      <c r="AJ9" s="3">
        <v>2316419</v>
      </c>
      <c r="AK9" s="13">
        <f t="shared" si="9"/>
        <v>0.65025849716016848</v>
      </c>
      <c r="AL9" s="13">
        <f t="shared" si="13"/>
        <v>0.7393205773153374</v>
      </c>
      <c r="AM9" s="3">
        <f t="shared" si="14"/>
        <v>691.81122042582501</v>
      </c>
      <c r="AN9" s="13">
        <f t="shared" si="15"/>
        <v>0.14719014991480703</v>
      </c>
      <c r="AO9" s="13">
        <f t="shared" si="16"/>
        <v>8.4649204136932707E-2</v>
      </c>
      <c r="AP9" s="66">
        <f t="shared" si="17"/>
        <v>49.86801145292889</v>
      </c>
      <c r="AQ9" s="3">
        <v>1999389</v>
      </c>
      <c r="AR9" s="82">
        <f t="shared" si="10"/>
        <v>170732448</v>
      </c>
      <c r="AS9" s="82">
        <v>53263648</v>
      </c>
      <c r="AT9" s="83">
        <f>170732448-AS9</f>
        <v>117468800</v>
      </c>
    </row>
    <row r="10" spans="1:46">
      <c r="A10" s="1">
        <v>2023</v>
      </c>
      <c r="B10" s="2">
        <v>45892</v>
      </c>
      <c r="C10" s="58">
        <v>49430487</v>
      </c>
      <c r="D10" s="11">
        <f t="shared" si="11"/>
        <v>1077.1046587640546</v>
      </c>
      <c r="E10" s="3">
        <v>51289666</v>
      </c>
      <c r="F10" s="11">
        <f t="shared" si="12"/>
        <v>1117.6167087945612</v>
      </c>
      <c r="G10" s="66">
        <v>20321645</v>
      </c>
      <c r="H10" s="3">
        <v>0</v>
      </c>
      <c r="I10" s="3">
        <v>0</v>
      </c>
      <c r="J10" s="3">
        <v>31676040</v>
      </c>
      <c r="K10" s="60">
        <f t="shared" si="0"/>
        <v>0.61759107575393457</v>
      </c>
      <c r="L10" s="3">
        <v>18143284</v>
      </c>
      <c r="M10" s="13">
        <v>0.36699999999999999</v>
      </c>
      <c r="N10" s="1" t="s">
        <v>56</v>
      </c>
      <c r="O10" s="13" t="e">
        <f t="shared" si="1"/>
        <v>#VALUE!</v>
      </c>
      <c r="P10" s="3">
        <v>12684597</v>
      </c>
      <c r="Q10" s="13">
        <f t="shared" si="2"/>
        <v>0.25661484985976368</v>
      </c>
      <c r="R10" s="3">
        <v>5708085</v>
      </c>
      <c r="S10" s="13">
        <f t="shared" si="3"/>
        <v>0.1154770132044218</v>
      </c>
      <c r="T10" s="3">
        <v>790534</v>
      </c>
      <c r="U10" s="13">
        <f t="shared" si="4"/>
        <v>1.5992842635760396E-2</v>
      </c>
      <c r="V10" s="3">
        <v>1368280</v>
      </c>
      <c r="W10" s="13">
        <f t="shared" si="5"/>
        <v>2.7680892563328376E-2</v>
      </c>
      <c r="X10" s="3">
        <v>8062941</v>
      </c>
      <c r="Y10" s="13">
        <f t="shared" si="6"/>
        <v>0.16311676233333489</v>
      </c>
      <c r="Z10" s="3">
        <v>2405797</v>
      </c>
      <c r="AA10" s="13">
        <f t="shared" si="7"/>
        <v>4.8670307456206124E-2</v>
      </c>
      <c r="AB10" s="3">
        <v>266969</v>
      </c>
      <c r="AC10" s="13">
        <f t="shared" si="8"/>
        <v>5.4008976282187956E-3</v>
      </c>
      <c r="AD10" s="65">
        <v>0.73480000000000001</v>
      </c>
      <c r="AE10" s="13">
        <v>0.76680000000000004</v>
      </c>
      <c r="AF10" s="3">
        <v>60631081</v>
      </c>
      <c r="AG10" s="3">
        <v>3970508</v>
      </c>
      <c r="AH10" s="3">
        <v>3022686</v>
      </c>
      <c r="AI10" s="3">
        <v>6993194</v>
      </c>
      <c r="AJ10" s="3">
        <v>2801937</v>
      </c>
      <c r="AK10" s="13">
        <f t="shared" si="9"/>
        <v>1.2265928312622127</v>
      </c>
      <c r="AL10" s="13">
        <f t="shared" si="13"/>
        <v>1.1821305484812477</v>
      </c>
      <c r="AM10" s="3">
        <f t="shared" si="14"/>
        <v>1321.1688529591215</v>
      </c>
      <c r="AN10" s="13">
        <f t="shared" si="15"/>
        <v>0.13634703723748171</v>
      </c>
      <c r="AO10" s="13">
        <f t="shared" si="16"/>
        <v>7.7413411114823791E-2</v>
      </c>
      <c r="AP10" s="66">
        <f t="shared" si="17"/>
        <v>61.055020482872834</v>
      </c>
      <c r="AQ10" s="3">
        <v>-678313</v>
      </c>
      <c r="AR10" s="82">
        <f t="shared" si="10"/>
        <v>180525932</v>
      </c>
      <c r="AS10" s="82">
        <v>2864309</v>
      </c>
      <c r="AT10" s="83">
        <f>180525932-AS10</f>
        <v>177661623</v>
      </c>
    </row>
    <row r="11" spans="1:46">
      <c r="A11" s="1">
        <v>2024</v>
      </c>
      <c r="B11" s="2">
        <v>46384</v>
      </c>
      <c r="C11" s="58">
        <v>52495008</v>
      </c>
      <c r="D11" s="11">
        <f t="shared" si="11"/>
        <v>1131.7481890307001</v>
      </c>
      <c r="E11" s="3">
        <v>54102346</v>
      </c>
      <c r="F11" s="11">
        <f t="shared" si="12"/>
        <v>1166.4010434632632</v>
      </c>
      <c r="G11" s="66">
        <v>17186353</v>
      </c>
      <c r="H11" s="3">
        <v>0</v>
      </c>
      <c r="I11" s="3">
        <v>0</v>
      </c>
      <c r="J11" s="3">
        <v>30144009</v>
      </c>
      <c r="K11" s="60">
        <f t="shared" si="0"/>
        <v>0.55716639348689245</v>
      </c>
      <c r="L11" s="3">
        <v>19075049</v>
      </c>
      <c r="M11" s="13">
        <v>0.3634</v>
      </c>
      <c r="N11" s="1" t="s">
        <v>56</v>
      </c>
      <c r="O11" s="13" t="e">
        <f t="shared" si="1"/>
        <v>#VALUE!</v>
      </c>
      <c r="P11" s="3">
        <v>12235911</v>
      </c>
      <c r="Q11" s="13">
        <f t="shared" si="2"/>
        <v>0.23308713468526379</v>
      </c>
      <c r="R11" s="3">
        <v>6005006</v>
      </c>
      <c r="S11" s="13">
        <f t="shared" si="3"/>
        <v>0.11439194370634252</v>
      </c>
      <c r="T11" s="3">
        <v>439828</v>
      </c>
      <c r="U11" s="13">
        <f t="shared" si="4"/>
        <v>8.3784728635530447E-3</v>
      </c>
      <c r="V11" s="3">
        <v>1094605</v>
      </c>
      <c r="W11" s="13">
        <f t="shared" si="5"/>
        <v>2.0851601737064216E-2</v>
      </c>
      <c r="X11" s="3">
        <v>9233525</v>
      </c>
      <c r="Y11" s="13">
        <f t="shared" si="6"/>
        <v>0.17589339161544656</v>
      </c>
      <c r="Z11" s="3">
        <v>3609378</v>
      </c>
      <c r="AA11" s="13">
        <f t="shared" si="7"/>
        <v>6.8756594912796273E-2</v>
      </c>
      <c r="AB11" s="3">
        <v>801706</v>
      </c>
      <c r="AC11" s="13">
        <f t="shared" si="8"/>
        <v>1.5272042629272483E-2</v>
      </c>
      <c r="AD11" s="65">
        <v>0.72589999999999999</v>
      </c>
      <c r="AE11" s="13">
        <v>0.7621</v>
      </c>
      <c r="AF11" s="3">
        <v>66602230</v>
      </c>
      <c r="AG11" s="3">
        <v>4277099</v>
      </c>
      <c r="AH11" s="3">
        <v>3272963</v>
      </c>
      <c r="AI11" s="3">
        <v>7550062</v>
      </c>
      <c r="AJ11" s="3">
        <v>1244287</v>
      </c>
      <c r="AK11" s="13">
        <f t="shared" si="9"/>
        <v>1.2687345432921926</v>
      </c>
      <c r="AL11" s="13">
        <f t="shared" si="13"/>
        <v>1.2310414413452606</v>
      </c>
      <c r="AM11" s="3">
        <f t="shared" si="14"/>
        <v>1435.8880217316316</v>
      </c>
      <c r="AN11" s="13">
        <f t="shared" si="15"/>
        <v>0.13955147157574277</v>
      </c>
      <c r="AO11" s="13">
        <f t="shared" si="16"/>
        <v>7.9055703055834217E-2</v>
      </c>
      <c r="AP11" s="66">
        <f t="shared" si="17"/>
        <v>26.825780441531563</v>
      </c>
      <c r="AQ11" s="3">
        <v>128069</v>
      </c>
      <c r="AR11" s="82">
        <f t="shared" si="10"/>
        <v>187413468</v>
      </c>
      <c r="AS11" s="82">
        <v>60188</v>
      </c>
      <c r="AT11" s="83">
        <f>187413468-AS11</f>
        <v>187353280</v>
      </c>
    </row>
    <row r="12" spans="1:46">
      <c r="A12" s="1">
        <v>2025</v>
      </c>
      <c r="B12" s="2">
        <v>46599</v>
      </c>
      <c r="C12" s="58">
        <v>53928601</v>
      </c>
      <c r="D12" s="11">
        <f t="shared" si="11"/>
        <v>1157.2909504495804</v>
      </c>
      <c r="E12" s="3">
        <v>57237163</v>
      </c>
      <c r="F12" s="11">
        <f t="shared" si="12"/>
        <v>1228.2916586192837</v>
      </c>
      <c r="G12" s="66">
        <v>17791638</v>
      </c>
      <c r="H12" s="3">
        <v>0</v>
      </c>
      <c r="I12" s="3">
        <v>0</v>
      </c>
      <c r="J12" s="3">
        <v>27953342</v>
      </c>
      <c r="K12" s="60">
        <f t="shared" si="0"/>
        <v>0.48837748998845382</v>
      </c>
      <c r="L12" s="3">
        <v>19286251</v>
      </c>
      <c r="M12" s="13">
        <v>0.3624</v>
      </c>
      <c r="N12" s="3">
        <v>124769</v>
      </c>
      <c r="O12" s="13">
        <f>N12/C12</f>
        <v>2.3135960823459892E-3</v>
      </c>
      <c r="P12" s="3">
        <v>12916469</v>
      </c>
      <c r="Q12" s="13">
        <f>P12/C12</f>
        <v>0.23951055210944561</v>
      </c>
      <c r="R12" s="3">
        <v>6463872</v>
      </c>
      <c r="S12" s="13">
        <f>R12/C12</f>
        <v>0.11985981242124193</v>
      </c>
      <c r="T12" s="3">
        <v>280750</v>
      </c>
      <c r="U12" s="13">
        <f>T12/C12</f>
        <v>5.2059574102432211E-3</v>
      </c>
      <c r="V12" s="3">
        <v>1663004</v>
      </c>
      <c r="W12" s="13">
        <f>V12/C12</f>
        <v>3.0837143355526689E-2</v>
      </c>
      <c r="X12" s="3">
        <v>9329753</v>
      </c>
      <c r="Y12" s="13">
        <f>X12/C12</f>
        <v>0.17300194751946188</v>
      </c>
      <c r="Z12" s="3">
        <v>2347226</v>
      </c>
      <c r="AA12" s="13">
        <f>Z12/C12</f>
        <v>4.3524696663278913E-2</v>
      </c>
      <c r="AB12" s="3">
        <v>813298</v>
      </c>
      <c r="AC12" s="13">
        <f>AB12/C12</f>
        <v>1.5081014246967022E-2</v>
      </c>
      <c r="AD12" s="65">
        <v>0.74709999999999999</v>
      </c>
      <c r="AE12" s="13">
        <v>0.78080000000000005</v>
      </c>
      <c r="AF12" s="3">
        <v>53815243</v>
      </c>
      <c r="AG12" s="3">
        <v>5027597</v>
      </c>
      <c r="AH12" s="3">
        <v>3645879</v>
      </c>
      <c r="AI12" s="3">
        <v>8673476</v>
      </c>
      <c r="AJ12" s="3">
        <v>77870</v>
      </c>
      <c r="AK12" s="13">
        <f>AF12/C12</f>
        <v>0.99789799850361405</v>
      </c>
      <c r="AL12" s="13">
        <f t="shared" si="13"/>
        <v>0.94021506621493456</v>
      </c>
      <c r="AM12" s="3">
        <f t="shared" si="14"/>
        <v>1154.8583231399816</v>
      </c>
      <c r="AN12" s="13">
        <f t="shared" si="15"/>
        <v>0.15153574260834696</v>
      </c>
      <c r="AO12" s="13">
        <f t="shared" si="16"/>
        <v>8.7837983863735522E-2</v>
      </c>
      <c r="AP12" s="66">
        <f t="shared" si="17"/>
        <v>1.6710659027017747</v>
      </c>
      <c r="AQ12" s="3">
        <v>-1847209</v>
      </c>
      <c r="AR12" s="82">
        <f>AS12+AT12</f>
        <v>208026195</v>
      </c>
      <c r="AS12" s="82">
        <v>63301</v>
      </c>
      <c r="AT12" s="83">
        <f>208026195-AS12</f>
        <v>207962894</v>
      </c>
    </row>
    <row r="13" spans="1:46"/>
    <row r="14" spans="1:46"/>
    <row r="15" spans="1:46"/>
    <row r="16" spans="1:46"/>
    <row r="17"/>
    <row r="18"/>
    <row r="19"/>
    <row r="20"/>
  </sheetData>
  <mergeCells count="5">
    <mergeCell ref="AQ1:AT1"/>
    <mergeCell ref="AD1:AP1"/>
    <mergeCell ref="C1:G1"/>
    <mergeCell ref="L1:AC1"/>
    <mergeCell ref="H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3D86-4A53-49B0-85F3-0C96E9D7005F}">
  <sheetPr>
    <tabColor theme="5"/>
  </sheetPr>
  <dimension ref="A1:AW14"/>
  <sheetViews>
    <sheetView topLeftCell="AR1" workbookViewId="0">
      <selection activeCell="AU3" sqref="AU3:AU12"/>
    </sheetView>
  </sheetViews>
  <sheetFormatPr defaultRowHeight="15" customHeight="1"/>
  <cols>
    <col min="2" max="2" width="10.140625" customWidth="1"/>
    <col min="3" max="3" width="16.28515625" customWidth="1"/>
    <col min="4" max="4" width="16.5703125" customWidth="1"/>
    <col min="5" max="5" width="19.140625" customWidth="1"/>
    <col min="6" max="6" width="19.5703125" customWidth="1"/>
    <col min="7" max="9" width="17.28515625" customWidth="1"/>
    <col min="10" max="10" width="18.140625" customWidth="1"/>
    <col min="11" max="11" width="14.42578125" customWidth="1"/>
    <col min="12" max="12" width="14.85546875" customWidth="1"/>
    <col min="14" max="14" width="13.42578125" customWidth="1"/>
    <col min="16" max="16" width="13.5703125" customWidth="1"/>
    <col min="18" max="18" width="17.5703125" customWidth="1"/>
    <col min="20" max="20" width="19.28515625" customWidth="1"/>
    <col min="22" max="22" width="15.28515625" customWidth="1"/>
    <col min="23" max="23" width="12" customWidth="1"/>
    <col min="24" max="24" width="15.7109375" customWidth="1"/>
    <col min="26" max="26" width="13.42578125" customWidth="1"/>
    <col min="27" max="27" width="11" customWidth="1"/>
    <col min="28" max="28" width="16.7109375" customWidth="1"/>
    <col min="29" max="29" width="13.140625" customWidth="1"/>
    <col min="30" max="30" width="14.42578125" customWidth="1"/>
    <col min="32" max="32" width="12.42578125" customWidth="1"/>
    <col min="33" max="33" width="14.140625" customWidth="1"/>
    <col min="34" max="34" width="17.85546875" customWidth="1"/>
    <col min="35" max="35" width="19.5703125" customWidth="1"/>
    <col min="36" max="36" width="20.7109375" customWidth="1"/>
    <col min="37" max="37" width="20.140625" customWidth="1"/>
    <col min="38" max="38" width="15.85546875" customWidth="1"/>
    <col min="39" max="39" width="12.5703125" customWidth="1"/>
    <col min="40" max="40" width="17.140625" customWidth="1"/>
    <col min="41" max="41" width="10.7109375" customWidth="1"/>
    <col min="42" max="42" width="18.7109375" customWidth="1"/>
    <col min="43" max="44" width="17.85546875" customWidth="1"/>
    <col min="45" max="45" width="13.42578125" customWidth="1"/>
    <col min="46" max="46" width="15.140625" customWidth="1"/>
    <col min="47" max="47" width="16.7109375" customWidth="1"/>
    <col min="48" max="48" width="15" customWidth="1"/>
    <col min="49" max="49" width="14.85546875" customWidth="1"/>
  </cols>
  <sheetData>
    <row r="1" spans="1:49">
      <c r="C1" s="116" t="s">
        <v>0</v>
      </c>
      <c r="D1" s="117"/>
      <c r="E1" s="117"/>
      <c r="F1" s="117"/>
      <c r="G1" s="117"/>
      <c r="H1" s="5"/>
      <c r="I1" s="41"/>
      <c r="J1" s="117" t="s">
        <v>57</v>
      </c>
      <c r="K1" s="118"/>
      <c r="L1" s="119" t="s">
        <v>2</v>
      </c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1"/>
      <c r="AF1" s="116" t="s">
        <v>3</v>
      </c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8"/>
      <c r="AT1" s="116" t="s">
        <v>4</v>
      </c>
      <c r="AU1" s="117"/>
      <c r="AV1" s="117"/>
      <c r="AW1" s="117"/>
    </row>
    <row r="2" spans="1:49" ht="43.5" customHeight="1">
      <c r="A2" s="4" t="s">
        <v>5</v>
      </c>
      <c r="B2" s="4" t="s">
        <v>6</v>
      </c>
      <c r="C2" s="6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6" t="s">
        <v>12</v>
      </c>
      <c r="I2" s="7" t="s">
        <v>13</v>
      </c>
      <c r="J2" s="7" t="s">
        <v>14</v>
      </c>
      <c r="K2" s="9" t="s">
        <v>15</v>
      </c>
      <c r="L2" s="14" t="s">
        <v>16</v>
      </c>
      <c r="M2" s="15" t="s">
        <v>17</v>
      </c>
      <c r="N2" s="15" t="s">
        <v>89</v>
      </c>
      <c r="O2" s="15" t="s">
        <v>90</v>
      </c>
      <c r="P2" s="15" t="s">
        <v>112</v>
      </c>
      <c r="Q2" s="15" t="s">
        <v>113</v>
      </c>
      <c r="R2" s="15" t="s">
        <v>79</v>
      </c>
      <c r="S2" s="15" t="s">
        <v>91</v>
      </c>
      <c r="T2" s="15" t="s">
        <v>81</v>
      </c>
      <c r="U2" s="15" t="s">
        <v>82</v>
      </c>
      <c r="V2" s="15" t="s">
        <v>114</v>
      </c>
      <c r="W2" s="15" t="s">
        <v>107</v>
      </c>
      <c r="X2" s="15" t="s">
        <v>67</v>
      </c>
      <c r="Y2" s="15" t="s">
        <v>85</v>
      </c>
      <c r="Z2" s="15" t="s">
        <v>28</v>
      </c>
      <c r="AA2" s="15" t="s">
        <v>29</v>
      </c>
      <c r="AB2" s="15" t="s">
        <v>108</v>
      </c>
      <c r="AC2" s="15" t="s">
        <v>98</v>
      </c>
      <c r="AD2" s="15" t="s">
        <v>36</v>
      </c>
      <c r="AE2" s="16" t="s">
        <v>37</v>
      </c>
      <c r="AF2" s="14" t="s">
        <v>38</v>
      </c>
      <c r="AG2" s="15" t="s">
        <v>39</v>
      </c>
      <c r="AH2" s="18" t="s">
        <v>40</v>
      </c>
      <c r="AI2" s="18" t="s">
        <v>41</v>
      </c>
      <c r="AJ2" s="18" t="s">
        <v>42</v>
      </c>
      <c r="AK2" s="18" t="s">
        <v>43</v>
      </c>
      <c r="AL2" s="18" t="s">
        <v>44</v>
      </c>
      <c r="AM2" s="18" t="s">
        <v>45</v>
      </c>
      <c r="AN2" s="18" t="s">
        <v>46</v>
      </c>
      <c r="AO2" s="18" t="s">
        <v>47</v>
      </c>
      <c r="AP2" s="18" t="s">
        <v>48</v>
      </c>
      <c r="AQ2" s="18" t="s">
        <v>49</v>
      </c>
      <c r="AR2" s="18" t="s">
        <v>50</v>
      </c>
      <c r="AS2" s="19" t="s">
        <v>51</v>
      </c>
      <c r="AT2" s="18" t="s">
        <v>52</v>
      </c>
      <c r="AU2" s="18" t="s">
        <v>53</v>
      </c>
      <c r="AV2" s="18" t="s">
        <v>54</v>
      </c>
      <c r="AW2" s="18" t="s">
        <v>55</v>
      </c>
    </row>
    <row r="3" spans="1:49">
      <c r="A3">
        <v>2016</v>
      </c>
      <c r="B3" s="2">
        <v>31353</v>
      </c>
      <c r="C3" s="8">
        <v>37714800</v>
      </c>
      <c r="D3" s="11">
        <f>C3/B3</f>
        <v>1202.9088125538226</v>
      </c>
      <c r="E3" s="3">
        <v>34380360</v>
      </c>
      <c r="F3" s="11">
        <f>E3/B3</f>
        <v>1096.5572672471533</v>
      </c>
      <c r="G3" s="3">
        <v>6313083</v>
      </c>
      <c r="H3" s="43">
        <v>29063788</v>
      </c>
      <c r="I3" s="42">
        <v>0</v>
      </c>
      <c r="J3" s="3">
        <v>8535399</v>
      </c>
      <c r="K3" s="10">
        <f t="shared" ref="K3:K12" si="0">J3/E3</f>
        <v>0.24826380526556441</v>
      </c>
      <c r="L3" s="8">
        <v>18775475</v>
      </c>
      <c r="M3" s="13">
        <v>0.49780000000000002</v>
      </c>
      <c r="N3" s="3">
        <v>3195628</v>
      </c>
      <c r="O3" s="13">
        <v>8.4699999999999998E-2</v>
      </c>
      <c r="P3" s="3">
        <v>2672236</v>
      </c>
      <c r="Q3" s="13">
        <v>7.0900000000000005E-2</v>
      </c>
      <c r="R3" s="3">
        <v>3921510</v>
      </c>
      <c r="S3" s="13">
        <v>0.104</v>
      </c>
      <c r="T3" s="3">
        <v>3699597</v>
      </c>
      <c r="U3" s="13">
        <v>9.8100000000000007E-2</v>
      </c>
      <c r="V3" s="3">
        <v>8480</v>
      </c>
      <c r="W3" s="13">
        <v>2.0000000000000001E-4</v>
      </c>
      <c r="X3" s="3">
        <v>4568228</v>
      </c>
      <c r="Y3" s="13">
        <v>0.1211</v>
      </c>
      <c r="Z3" s="3">
        <v>242889</v>
      </c>
      <c r="AA3" s="13">
        <v>6.4000000000000003E-3</v>
      </c>
      <c r="AB3" s="3">
        <v>451355</v>
      </c>
      <c r="AC3" s="13">
        <v>1.2E-2</v>
      </c>
      <c r="AD3" s="3">
        <v>179405</v>
      </c>
      <c r="AE3" s="17">
        <v>4.7999999999999996E-3</v>
      </c>
      <c r="AF3" s="89">
        <v>0.78280000000000005</v>
      </c>
      <c r="AG3" s="80">
        <v>0.78520000000000001</v>
      </c>
      <c r="AH3" s="3">
        <v>24519671</v>
      </c>
      <c r="AI3" s="3">
        <v>1446094</v>
      </c>
      <c r="AJ3" s="3">
        <v>1130926</v>
      </c>
      <c r="AK3" s="3">
        <f t="shared" ref="AK3:AK11" si="1">AI3+AJ3</f>
        <v>2577020</v>
      </c>
      <c r="AL3" s="3">
        <v>518562</v>
      </c>
      <c r="AM3" s="13">
        <f>AH3/C3</f>
        <v>0.65013392620403665</v>
      </c>
      <c r="AN3" s="13">
        <f>AH3/E3</f>
        <v>0.71318831449118048</v>
      </c>
      <c r="AO3" s="3">
        <f>AH3/B3</f>
        <v>782.05182917105219</v>
      </c>
      <c r="AP3" s="13">
        <f>AJ3/E3</f>
        <v>3.2894536299212691E-2</v>
      </c>
      <c r="AQ3" s="13">
        <f>AI3/E3</f>
        <v>4.2061630535573213E-2</v>
      </c>
      <c r="AR3" s="13">
        <f>AK3/E3</f>
        <v>7.4956166834785912E-2</v>
      </c>
      <c r="AS3" s="12">
        <f>AL3/B3</f>
        <v>16.539469907185914</v>
      </c>
      <c r="AT3" s="20">
        <v>9735906</v>
      </c>
      <c r="AU3" s="20">
        <f t="shared" ref="AU3:AU10" si="2">AV3+AW3</f>
        <v>67927697</v>
      </c>
      <c r="AV3" s="20">
        <v>28968210</v>
      </c>
      <c r="AW3" s="20">
        <v>38959487</v>
      </c>
    </row>
    <row r="4" spans="1:49">
      <c r="A4">
        <v>2017</v>
      </c>
      <c r="B4" s="2">
        <v>31402</v>
      </c>
      <c r="C4" s="8">
        <v>39109065</v>
      </c>
      <c r="D4" s="11">
        <f t="shared" ref="D4:D12" si="3">C4/B4</f>
        <v>1245.4322973059041</v>
      </c>
      <c r="E4" s="3">
        <v>33274741</v>
      </c>
      <c r="F4" s="11">
        <f t="shared" ref="F4:F12" si="4">E4/B4</f>
        <v>1059.6376345455703</v>
      </c>
      <c r="G4" s="3">
        <v>4992348</v>
      </c>
      <c r="H4" s="43">
        <v>37629746</v>
      </c>
      <c r="I4" s="42">
        <v>0</v>
      </c>
      <c r="J4" s="3">
        <v>6148357</v>
      </c>
      <c r="K4" s="10">
        <f t="shared" si="0"/>
        <v>0.18477550283561936</v>
      </c>
      <c r="L4" s="8">
        <v>19863197</v>
      </c>
      <c r="M4" s="13">
        <v>0.50790000000000002</v>
      </c>
      <c r="N4" s="3">
        <v>3278430</v>
      </c>
      <c r="O4" s="13">
        <v>8.3799999999999999E-2</v>
      </c>
      <c r="P4" s="3">
        <v>2679961</v>
      </c>
      <c r="Q4" s="13">
        <v>6.8500000000000005E-2</v>
      </c>
      <c r="R4" s="3">
        <v>4329549</v>
      </c>
      <c r="S4" s="13">
        <v>0.11070000000000001</v>
      </c>
      <c r="T4" s="3">
        <v>3740198</v>
      </c>
      <c r="U4" s="13">
        <v>9.5600000000000004E-2</v>
      </c>
      <c r="V4" s="3">
        <v>69231</v>
      </c>
      <c r="W4" s="13">
        <v>1.8E-3</v>
      </c>
      <c r="X4" s="3">
        <v>4472852</v>
      </c>
      <c r="Y4" s="13">
        <v>0.1144</v>
      </c>
      <c r="Z4" s="3">
        <v>196674</v>
      </c>
      <c r="AA4" s="13">
        <v>5.0000000000000001E-3</v>
      </c>
      <c r="AB4" s="3">
        <v>196674</v>
      </c>
      <c r="AC4" s="13">
        <v>5.0000000000000001E-3</v>
      </c>
      <c r="AD4" s="3">
        <v>282520</v>
      </c>
      <c r="AE4" s="17">
        <v>7.1999999999999998E-3</v>
      </c>
      <c r="AF4" s="89">
        <v>0.73199999999999998</v>
      </c>
      <c r="AG4" s="80">
        <v>0.73960000000000004</v>
      </c>
      <c r="AH4" s="3">
        <v>31428897</v>
      </c>
      <c r="AI4" s="3">
        <v>3097860</v>
      </c>
      <c r="AJ4" s="3">
        <v>2293574</v>
      </c>
      <c r="AK4" s="3">
        <f t="shared" si="1"/>
        <v>5391434</v>
      </c>
      <c r="AL4" s="3">
        <v>899507</v>
      </c>
      <c r="AM4" s="13">
        <f>AH4/C4</f>
        <v>0.80362179458905503</v>
      </c>
      <c r="AN4" s="13">
        <f>AH4/E4</f>
        <v>0.94452717152629373</v>
      </c>
      <c r="AO4" s="3">
        <f>AH4/B4</f>
        <v>1000.8565378001401</v>
      </c>
      <c r="AP4" s="13">
        <f>AJ4/E4</f>
        <v>6.8928380238932593E-2</v>
      </c>
      <c r="AQ4" s="13">
        <f>AI4/E4</f>
        <v>9.3099447415683864E-2</v>
      </c>
      <c r="AR4" s="13">
        <f>AK4/E4</f>
        <v>0.16202782765461646</v>
      </c>
      <c r="AS4" s="12">
        <f>AL4/B4</f>
        <v>28.644895229603211</v>
      </c>
      <c r="AT4" s="20">
        <v>6637904</v>
      </c>
      <c r="AU4" s="20">
        <f t="shared" si="2"/>
        <v>71929369</v>
      </c>
      <c r="AV4" s="20">
        <v>21249257</v>
      </c>
      <c r="AW4" s="20">
        <v>50680112</v>
      </c>
    </row>
    <row r="5" spans="1:49">
      <c r="A5">
        <v>2018</v>
      </c>
      <c r="B5" s="2">
        <v>31361</v>
      </c>
      <c r="C5" s="8">
        <v>41177393</v>
      </c>
      <c r="D5" s="11">
        <f t="shared" si="3"/>
        <v>1313.0127546953222</v>
      </c>
      <c r="E5" s="3">
        <v>35712333</v>
      </c>
      <c r="F5" s="11">
        <f t="shared" si="4"/>
        <v>1138.7498166512548</v>
      </c>
      <c r="G5" s="3">
        <v>7299232</v>
      </c>
      <c r="H5" s="43">
        <v>38040148</v>
      </c>
      <c r="I5" s="42">
        <v>0</v>
      </c>
      <c r="J5" s="3">
        <v>5421683</v>
      </c>
      <c r="K5" s="10">
        <f t="shared" si="0"/>
        <v>0.15181542466015871</v>
      </c>
      <c r="L5" s="8">
        <v>21428500</v>
      </c>
      <c r="M5" s="13">
        <v>0.52039999999999997</v>
      </c>
      <c r="N5" s="3">
        <v>3243554</v>
      </c>
      <c r="O5" s="13">
        <v>7.8799999999999995E-2</v>
      </c>
      <c r="P5" s="3">
        <v>2732325</v>
      </c>
      <c r="Q5" s="13">
        <v>6.6400000000000001E-2</v>
      </c>
      <c r="R5" s="3">
        <v>4534886</v>
      </c>
      <c r="S5" s="13">
        <v>0.1101</v>
      </c>
      <c r="T5" s="3">
        <v>4055230</v>
      </c>
      <c r="U5" s="13">
        <v>9.8500000000000004E-2</v>
      </c>
      <c r="V5" s="3">
        <v>82101</v>
      </c>
      <c r="W5" s="13">
        <v>2E-3</v>
      </c>
      <c r="X5" s="3">
        <v>4510749</v>
      </c>
      <c r="Y5" s="13">
        <v>0.1095</v>
      </c>
      <c r="Z5" s="3">
        <v>158664</v>
      </c>
      <c r="AA5" s="13">
        <v>3.8999999999999998E-3</v>
      </c>
      <c r="AB5" s="3">
        <v>303377</v>
      </c>
      <c r="AC5" s="13">
        <v>7.4000000000000003E-3</v>
      </c>
      <c r="AD5" s="3">
        <v>128007</v>
      </c>
      <c r="AE5" s="17">
        <v>3.0999999999999999E-3</v>
      </c>
      <c r="AF5" s="89">
        <v>0.75390000000000001</v>
      </c>
      <c r="AG5" s="80">
        <v>0.71740000000000004</v>
      </c>
      <c r="AH5" s="3">
        <v>36185071</v>
      </c>
      <c r="AI5" s="3">
        <v>1769644</v>
      </c>
      <c r="AJ5" s="3">
        <v>1390429</v>
      </c>
      <c r="AK5" s="3">
        <f t="shared" si="1"/>
        <v>3160073</v>
      </c>
      <c r="AL5" s="3">
        <v>1540000</v>
      </c>
      <c r="AM5" s="13">
        <f>AH5/C5</f>
        <v>0.87876061022124441</v>
      </c>
      <c r="AN5" s="13">
        <f>AH5/E5</f>
        <v>1.0132373877674137</v>
      </c>
      <c r="AO5" s="3">
        <f>AH5/B5</f>
        <v>1153.8238895443385</v>
      </c>
      <c r="AP5" s="13">
        <f>AJ5/E5</f>
        <v>3.8934140763080362E-2</v>
      </c>
      <c r="AQ5" s="13">
        <f>AI5/E5</f>
        <v>4.9552741345685818E-2</v>
      </c>
      <c r="AR5" s="13">
        <f>AK5/E5</f>
        <v>8.8486882108766179E-2</v>
      </c>
      <c r="AS5" s="12">
        <f>AL5/B5</f>
        <v>49.105576990529642</v>
      </c>
      <c r="AT5" s="20">
        <v>6048619</v>
      </c>
      <c r="AU5" s="20">
        <f t="shared" si="2"/>
        <v>75754871</v>
      </c>
      <c r="AV5" s="20">
        <v>21950040</v>
      </c>
      <c r="AW5" s="20">
        <v>53804831</v>
      </c>
    </row>
    <row r="6" spans="1:49">
      <c r="A6" s="1">
        <v>2019</v>
      </c>
      <c r="B6" s="2">
        <v>31190</v>
      </c>
      <c r="C6" s="8">
        <v>45715859</v>
      </c>
      <c r="D6" s="11">
        <f t="shared" si="3"/>
        <v>1465.7216736133375</v>
      </c>
      <c r="E6" s="3">
        <v>37009027</v>
      </c>
      <c r="F6" s="11">
        <f t="shared" si="4"/>
        <v>1186.5670727797371</v>
      </c>
      <c r="G6" s="3">
        <v>7756129</v>
      </c>
      <c r="H6" s="43">
        <v>39020159</v>
      </c>
      <c r="I6" s="42">
        <v>0</v>
      </c>
      <c r="J6" s="3">
        <v>6841453</v>
      </c>
      <c r="K6" s="10">
        <f t="shared" si="0"/>
        <v>0.1848590345269007</v>
      </c>
      <c r="L6" s="8">
        <v>23791531</v>
      </c>
      <c r="M6" s="13">
        <v>0.52039999999999997</v>
      </c>
      <c r="N6" s="3">
        <v>3461299</v>
      </c>
      <c r="O6" s="13">
        <v>7.5700000000000003E-2</v>
      </c>
      <c r="P6" s="3">
        <v>2743570</v>
      </c>
      <c r="Q6" s="13">
        <v>0.06</v>
      </c>
      <c r="R6" s="3">
        <v>4514395</v>
      </c>
      <c r="S6" s="13">
        <v>9.8699999999999996E-2</v>
      </c>
      <c r="T6" s="3">
        <v>4142817</v>
      </c>
      <c r="U6" s="13">
        <v>9.06E-2</v>
      </c>
      <c r="V6" s="3">
        <v>7500</v>
      </c>
      <c r="W6" s="13">
        <v>2.0000000000000001E-4</v>
      </c>
      <c r="X6" s="3">
        <v>4747360</v>
      </c>
      <c r="Y6" s="13">
        <v>0.1038</v>
      </c>
      <c r="Z6" s="3">
        <v>173259</v>
      </c>
      <c r="AA6" s="13">
        <v>3.8E-3</v>
      </c>
      <c r="AB6" s="3">
        <v>1932910</v>
      </c>
      <c r="AC6" s="13">
        <v>4.2299999999999997E-2</v>
      </c>
      <c r="AD6" s="3">
        <v>201218</v>
      </c>
      <c r="AE6" s="17">
        <v>4.4000000000000003E-3</v>
      </c>
      <c r="AF6" s="89">
        <v>0.77690000000000003</v>
      </c>
      <c r="AG6" s="80">
        <v>0.7339</v>
      </c>
      <c r="AH6" s="3">
        <v>36142132</v>
      </c>
      <c r="AI6" s="3">
        <v>1974752</v>
      </c>
      <c r="AJ6" s="3">
        <v>1605370</v>
      </c>
      <c r="AK6" s="3">
        <f t="shared" si="1"/>
        <v>3580122</v>
      </c>
      <c r="AL6" s="3">
        <v>1648000</v>
      </c>
      <c r="AM6" s="13">
        <f>AH6/C6</f>
        <v>0.79058192912879532</v>
      </c>
      <c r="AN6" s="13">
        <f>AH6/E6</f>
        <v>0.97657612019899898</v>
      </c>
      <c r="AO6" s="3">
        <f>AH6/B6</f>
        <v>1158.773068291119</v>
      </c>
      <c r="AP6" s="13">
        <f>AJ6/E6</f>
        <v>4.337779536868127E-2</v>
      </c>
      <c r="AQ6" s="13">
        <f>AI6/E6</f>
        <v>5.3358657605345854E-2</v>
      </c>
      <c r="AR6" s="13">
        <f>AK6/E6</f>
        <v>9.6736452974027123E-2</v>
      </c>
      <c r="AS6" s="12">
        <f>AL6/B6</f>
        <v>52.837447899967941</v>
      </c>
      <c r="AT6" s="20">
        <v>1330160</v>
      </c>
      <c r="AU6" s="20">
        <f t="shared" si="2"/>
        <v>85525291</v>
      </c>
      <c r="AV6" s="20">
        <v>25481149</v>
      </c>
      <c r="AW6" s="20">
        <v>60044142</v>
      </c>
    </row>
    <row r="7" spans="1:49">
      <c r="A7" s="1">
        <v>2020</v>
      </c>
      <c r="B7" s="2">
        <v>30876</v>
      </c>
      <c r="C7" s="8">
        <v>46036748</v>
      </c>
      <c r="D7" s="11">
        <f t="shared" si="3"/>
        <v>1491.020468972665</v>
      </c>
      <c r="E7" s="3">
        <v>40614455</v>
      </c>
      <c r="F7" s="11">
        <f t="shared" si="4"/>
        <v>1315.4053310014251</v>
      </c>
      <c r="G7" s="3">
        <v>15427585</v>
      </c>
      <c r="H7" s="43">
        <v>25773273</v>
      </c>
      <c r="I7" s="42">
        <v>0</v>
      </c>
      <c r="J7" s="3">
        <v>7861296</v>
      </c>
      <c r="K7" s="10">
        <f t="shared" si="0"/>
        <v>0.19355906659340869</v>
      </c>
      <c r="L7" s="8">
        <v>25786599</v>
      </c>
      <c r="M7" s="13">
        <v>0.56010000000000004</v>
      </c>
      <c r="N7" s="3">
        <v>3373391</v>
      </c>
      <c r="O7" s="13">
        <v>7.3300000000000004E-2</v>
      </c>
      <c r="P7" s="3">
        <v>2838663</v>
      </c>
      <c r="Q7" s="13">
        <v>6.1699999999999998E-2</v>
      </c>
      <c r="R7" s="3">
        <v>3598208</v>
      </c>
      <c r="S7" s="13">
        <v>7.8200000000000006E-2</v>
      </c>
      <c r="T7" s="3">
        <v>4154060</v>
      </c>
      <c r="U7" s="13">
        <v>9.0200000000000002E-2</v>
      </c>
      <c r="V7" s="3">
        <v>88117</v>
      </c>
      <c r="W7" s="13">
        <v>1.9E-3</v>
      </c>
      <c r="X7" s="3">
        <v>3649900</v>
      </c>
      <c r="Y7" s="13">
        <v>7.9299999999999995E-2</v>
      </c>
      <c r="Z7" s="3">
        <v>182926</v>
      </c>
      <c r="AA7" s="13">
        <v>4.0000000000000001E-3</v>
      </c>
      <c r="AB7" s="3">
        <v>2257574</v>
      </c>
      <c r="AC7" s="13">
        <v>4.9000000000000002E-2</v>
      </c>
      <c r="AD7" s="3">
        <v>107310</v>
      </c>
      <c r="AE7" s="17">
        <v>2.3E-3</v>
      </c>
      <c r="AF7" s="89">
        <v>0.77729999999999999</v>
      </c>
      <c r="AG7" s="80">
        <v>0.73370000000000002</v>
      </c>
      <c r="AH7" s="3">
        <v>39132989</v>
      </c>
      <c r="AI7" s="3">
        <v>2356569</v>
      </c>
      <c r="AJ7" s="3">
        <v>1962129</v>
      </c>
      <c r="AK7" s="3">
        <f>AI7+AJ7</f>
        <v>4318698</v>
      </c>
      <c r="AL7" s="3">
        <v>1382311</v>
      </c>
      <c r="AM7" s="13">
        <f>AH7/C7</f>
        <v>0.85003808262043179</v>
      </c>
      <c r="AN7" s="13">
        <f>AH7/E7</f>
        <v>0.96352367648414827</v>
      </c>
      <c r="AO7" s="3">
        <f>AH7/B7</f>
        <v>1267.4241805933411</v>
      </c>
      <c r="AP7" s="13">
        <f>AJ7/E7</f>
        <v>4.8311100075084108E-2</v>
      </c>
      <c r="AQ7" s="13">
        <f>AI7/E7</f>
        <v>5.8022913270656964E-2</v>
      </c>
      <c r="AR7" s="13">
        <f>AK7/E7</f>
        <v>0.10633401334574107</v>
      </c>
      <c r="AS7" s="12">
        <f>AL7/B7</f>
        <v>44.769756445135378</v>
      </c>
      <c r="AT7" s="20">
        <v>10751908</v>
      </c>
      <c r="AU7" s="20">
        <f t="shared" si="2"/>
        <v>74684152</v>
      </c>
      <c r="AV7" s="20">
        <v>10731360</v>
      </c>
      <c r="AW7" s="20">
        <v>63952792</v>
      </c>
    </row>
    <row r="8" spans="1:49">
      <c r="A8" s="1">
        <v>2021</v>
      </c>
      <c r="B8" s="2">
        <v>30510</v>
      </c>
      <c r="C8" s="8">
        <v>48443034</v>
      </c>
      <c r="D8" s="11">
        <f t="shared" si="3"/>
        <v>1587.7756145526057</v>
      </c>
      <c r="E8" s="3">
        <v>40847972</v>
      </c>
      <c r="F8" s="11">
        <f t="shared" si="4"/>
        <v>1338.8388069485416</v>
      </c>
      <c r="G8" s="3">
        <v>23343074</v>
      </c>
      <c r="H8" s="43">
        <v>15936861</v>
      </c>
      <c r="I8" s="42">
        <v>0</v>
      </c>
      <c r="J8" s="3">
        <v>4928166</v>
      </c>
      <c r="K8" s="10">
        <f t="shared" si="0"/>
        <v>0.12064652805774544</v>
      </c>
      <c r="L8" s="8">
        <v>28464193</v>
      </c>
      <c r="M8" s="13">
        <v>0.58760000000000001</v>
      </c>
      <c r="N8" s="3">
        <v>2996325</v>
      </c>
      <c r="O8" s="13">
        <v>6.1899999999999997E-2</v>
      </c>
      <c r="P8" s="3">
        <v>2917252</v>
      </c>
      <c r="Q8" s="13">
        <v>6.0199999999999997E-2</v>
      </c>
      <c r="R8" s="3">
        <v>2306393</v>
      </c>
      <c r="S8" s="13">
        <v>4.7600000000000003E-2</v>
      </c>
      <c r="T8" s="3">
        <v>4392246</v>
      </c>
      <c r="U8" s="13">
        <v>9.0700000000000003E-2</v>
      </c>
      <c r="V8" s="3">
        <v>3986394</v>
      </c>
      <c r="W8" s="13">
        <v>8.2299999999999998E-2</v>
      </c>
      <c r="X8" s="3">
        <v>2958245</v>
      </c>
      <c r="Y8" s="13">
        <v>6.1100000000000002E-2</v>
      </c>
      <c r="Z8" s="3">
        <v>131467</v>
      </c>
      <c r="AA8" s="13">
        <v>2.7000000000000001E-3</v>
      </c>
      <c r="AB8" s="3">
        <v>184032</v>
      </c>
      <c r="AC8" s="13">
        <v>3.8E-3</v>
      </c>
      <c r="AD8" s="3">
        <v>106487</v>
      </c>
      <c r="AE8" s="17">
        <v>2.2000000000000001E-3</v>
      </c>
      <c r="AF8" s="89">
        <v>0.77710000000000001</v>
      </c>
      <c r="AG8" s="80">
        <v>0.73119999999999996</v>
      </c>
      <c r="AH8" s="3">
        <v>42369117</v>
      </c>
      <c r="AI8" s="3">
        <v>2588732</v>
      </c>
      <c r="AJ8" s="3">
        <v>2201042</v>
      </c>
      <c r="AK8" s="3">
        <f t="shared" si="1"/>
        <v>4789774</v>
      </c>
      <c r="AL8" s="3">
        <v>1625452</v>
      </c>
      <c r="AM8" s="13">
        <f>AH8/C8</f>
        <v>0.87461732888158905</v>
      </c>
      <c r="AN8" s="13">
        <f>AH8/E8</f>
        <v>1.0372391804420547</v>
      </c>
      <c r="AO8" s="3">
        <f>AH8/B8</f>
        <v>1388.6960668633235</v>
      </c>
      <c r="AP8" s="13">
        <f>AJ8/E8</f>
        <v>5.3883752172568078E-2</v>
      </c>
      <c r="AQ8" s="13">
        <f>AI8/E8</f>
        <v>6.3374798631373921E-2</v>
      </c>
      <c r="AR8" s="13">
        <f>AK8/E8</f>
        <v>0.117258550803942</v>
      </c>
      <c r="AS8" s="12">
        <f>AL8/B8</f>
        <v>53.276040642412326</v>
      </c>
      <c r="AT8" s="20">
        <v>9719416</v>
      </c>
      <c r="AU8" s="20">
        <f t="shared" si="2"/>
        <v>58373587</v>
      </c>
      <c r="AV8" s="20">
        <v>3590222</v>
      </c>
      <c r="AW8" s="20">
        <v>54783365</v>
      </c>
    </row>
    <row r="9" spans="1:49">
      <c r="A9" s="1">
        <v>2022</v>
      </c>
      <c r="B9" s="2">
        <v>31526</v>
      </c>
      <c r="C9" s="8">
        <v>52039394</v>
      </c>
      <c r="D9" s="11">
        <f t="shared" si="3"/>
        <v>1650.6817864619679</v>
      </c>
      <c r="E9" s="3">
        <v>50431764</v>
      </c>
      <c r="F9" s="11">
        <f t="shared" si="4"/>
        <v>1599.6880035526233</v>
      </c>
      <c r="G9" s="3">
        <v>6713059</v>
      </c>
      <c r="H9" s="43">
        <v>10337346</v>
      </c>
      <c r="I9" s="42">
        <v>0</v>
      </c>
      <c r="J9" s="3">
        <v>9058574</v>
      </c>
      <c r="K9" s="10">
        <f t="shared" si="0"/>
        <v>0.17962040748763022</v>
      </c>
      <c r="L9" s="8">
        <v>30086157</v>
      </c>
      <c r="M9" s="13">
        <v>0.57809999999999995</v>
      </c>
      <c r="N9" s="3">
        <v>3738113</v>
      </c>
      <c r="O9" s="13">
        <v>7.1800000000000003E-2</v>
      </c>
      <c r="P9" s="3">
        <v>3093784</v>
      </c>
      <c r="Q9" s="13">
        <v>5.9499999999999997E-2</v>
      </c>
      <c r="R9" s="3">
        <v>3545907</v>
      </c>
      <c r="S9" s="13">
        <v>6.8099999999999994E-2</v>
      </c>
      <c r="T9" s="3">
        <v>4624201</v>
      </c>
      <c r="U9" s="13">
        <v>8.8900000000000007E-2</v>
      </c>
      <c r="V9" s="3">
        <v>3899739</v>
      </c>
      <c r="W9" s="13">
        <v>7.4899999999999994E-2</v>
      </c>
      <c r="X9" s="3">
        <v>3642018</v>
      </c>
      <c r="Y9" s="13">
        <v>7.0000000000000007E-2</v>
      </c>
      <c r="Z9" s="3">
        <v>171611</v>
      </c>
      <c r="AA9" s="13">
        <v>3.3E-3</v>
      </c>
      <c r="AB9" s="3">
        <v>-949567</v>
      </c>
      <c r="AC9" s="13">
        <v>-1.8200000000000001E-2</v>
      </c>
      <c r="AD9" s="3">
        <v>187431</v>
      </c>
      <c r="AE9" s="17">
        <v>3.5999999999999999E-3</v>
      </c>
      <c r="AF9" s="89">
        <v>0.77300000000000002</v>
      </c>
      <c r="AG9" s="80">
        <v>1.071</v>
      </c>
      <c r="AH9" s="3">
        <v>27641351</v>
      </c>
      <c r="AI9" s="3">
        <v>3953914</v>
      </c>
      <c r="AJ9" s="3">
        <v>3293372</v>
      </c>
      <c r="AK9" s="3">
        <f t="shared" si="1"/>
        <v>7247286</v>
      </c>
      <c r="AL9" s="3">
        <v>781430</v>
      </c>
      <c r="AM9" s="13">
        <f>AH9/C9</f>
        <v>0.53116204619907759</v>
      </c>
      <c r="AN9" s="13">
        <f>AH9/E9</f>
        <v>0.548094074202917</v>
      </c>
      <c r="AO9" s="3">
        <f>AH9/B9</f>
        <v>876.77951532068766</v>
      </c>
      <c r="AP9" s="13">
        <f>AJ9/E9</f>
        <v>6.5303525769988935E-2</v>
      </c>
      <c r="AQ9" s="13">
        <f>AI9/E9</f>
        <v>7.8401263140428723E-2</v>
      </c>
      <c r="AR9" s="13">
        <f>AK9/E9</f>
        <v>0.14370478891041766</v>
      </c>
      <c r="AS9" s="12">
        <f>AL9/B9</f>
        <v>24.786842606102898</v>
      </c>
      <c r="AT9" s="20">
        <v>8782528</v>
      </c>
      <c r="AU9" s="20">
        <f t="shared" si="2"/>
        <v>57170156</v>
      </c>
      <c r="AV9" s="20">
        <v>8980271</v>
      </c>
      <c r="AW9" s="20">
        <v>48189885</v>
      </c>
    </row>
    <row r="10" spans="1:49">
      <c r="A10" s="1">
        <v>2023</v>
      </c>
      <c r="B10" s="2">
        <v>31021</v>
      </c>
      <c r="C10" s="8">
        <v>57165844</v>
      </c>
      <c r="D10" s="11">
        <f t="shared" si="3"/>
        <v>1842.8111279455852</v>
      </c>
      <c r="E10" s="3">
        <v>43631185</v>
      </c>
      <c r="F10" s="11">
        <f t="shared" si="4"/>
        <v>1406.5047870797202</v>
      </c>
      <c r="G10" s="3">
        <v>8299179</v>
      </c>
      <c r="H10" s="43">
        <v>10008282</v>
      </c>
      <c r="I10" s="42">
        <v>0</v>
      </c>
      <c r="J10" s="3">
        <v>18681804</v>
      </c>
      <c r="K10" s="10">
        <f t="shared" si="0"/>
        <v>0.42817548961826274</v>
      </c>
      <c r="L10" s="8">
        <v>32644256</v>
      </c>
      <c r="M10" s="13">
        <v>0.57099999999999995</v>
      </c>
      <c r="N10" s="3">
        <v>3686148</v>
      </c>
      <c r="O10" s="13">
        <v>6.4500000000000002E-2</v>
      </c>
      <c r="P10" s="3">
        <v>3214718</v>
      </c>
      <c r="Q10" s="13">
        <v>5.62E-2</v>
      </c>
      <c r="R10" s="3">
        <v>4110059</v>
      </c>
      <c r="S10" s="13">
        <v>7.1900000000000006E-2</v>
      </c>
      <c r="T10" s="3">
        <v>5624139</v>
      </c>
      <c r="U10" s="13">
        <v>9.8400000000000001E-2</v>
      </c>
      <c r="V10" s="3">
        <v>172437</v>
      </c>
      <c r="W10" s="13">
        <v>3.0000000000000001E-3</v>
      </c>
      <c r="X10" s="3">
        <v>7026614</v>
      </c>
      <c r="Y10" s="13">
        <v>0.1229</v>
      </c>
      <c r="Z10" s="3">
        <v>161918</v>
      </c>
      <c r="AA10" s="13">
        <v>2.8E-3</v>
      </c>
      <c r="AB10" s="3">
        <v>385282</v>
      </c>
      <c r="AC10" s="13">
        <v>6.7000000000000002E-3</v>
      </c>
      <c r="AD10" s="3">
        <v>140273</v>
      </c>
      <c r="AE10" s="17">
        <v>2.5000000000000001E-3</v>
      </c>
      <c r="AF10" s="89">
        <v>0.70199999999999996</v>
      </c>
      <c r="AG10" s="80">
        <v>0.89200000000000002</v>
      </c>
      <c r="AH10" s="3">
        <v>44295062</v>
      </c>
      <c r="AI10" s="3">
        <v>3022765</v>
      </c>
      <c r="AJ10" s="3">
        <v>2259334</v>
      </c>
      <c r="AK10" s="3">
        <f t="shared" si="1"/>
        <v>5282099</v>
      </c>
      <c r="AL10" s="3">
        <v>75263</v>
      </c>
      <c r="AM10" s="13">
        <f>AH10/C10</f>
        <v>0.77485188533208749</v>
      </c>
      <c r="AN10" s="13">
        <f>AH10/E10</f>
        <v>1.0152156536660648</v>
      </c>
      <c r="AO10" s="3">
        <f>AH10/B10</f>
        <v>1427.9056767995874</v>
      </c>
      <c r="AP10" s="13">
        <f>AJ10/E10</f>
        <v>5.1782549568617033E-2</v>
      </c>
      <c r="AQ10" s="13">
        <f>AI10/E10</f>
        <v>6.9279919855488689E-2</v>
      </c>
      <c r="AR10" s="13">
        <f>AK10/E10</f>
        <v>0.12106246942410571</v>
      </c>
      <c r="AS10" s="12">
        <f>AL10/B10</f>
        <v>2.4261951581186936</v>
      </c>
      <c r="AT10" s="20">
        <f>77514906-AU10</f>
        <v>8561178</v>
      </c>
      <c r="AU10" s="20">
        <f t="shared" si="2"/>
        <v>68953728</v>
      </c>
      <c r="AV10" s="20">
        <v>20163228</v>
      </c>
      <c r="AW10" s="20">
        <v>48790500</v>
      </c>
    </row>
    <row r="11" spans="1:49">
      <c r="A11" s="1">
        <v>2024</v>
      </c>
      <c r="B11" s="2">
        <v>31255</v>
      </c>
      <c r="C11" s="8">
        <v>59645508</v>
      </c>
      <c r="D11" s="11">
        <f t="shared" si="3"/>
        <v>1908.3509198528236</v>
      </c>
      <c r="E11" s="3">
        <v>48066481</v>
      </c>
      <c r="F11" s="11">
        <f t="shared" si="4"/>
        <v>1537.881330987042</v>
      </c>
      <c r="G11" s="3">
        <v>2693204</v>
      </c>
      <c r="H11" s="43">
        <v>10328969</v>
      </c>
      <c r="I11" s="42">
        <v>0</v>
      </c>
      <c r="J11" s="3">
        <v>27806361</v>
      </c>
      <c r="K11" s="10">
        <f t="shared" si="0"/>
        <v>0.57849795577920504</v>
      </c>
      <c r="L11" s="8">
        <v>34410697</v>
      </c>
      <c r="M11" s="13">
        <v>0.57689999999999997</v>
      </c>
      <c r="N11" s="3">
        <v>3442623</v>
      </c>
      <c r="O11" s="13">
        <v>5.7700000000000001E-2</v>
      </c>
      <c r="P11" s="3">
        <v>3517438</v>
      </c>
      <c r="Q11" s="13">
        <v>5.8999999999999997E-2</v>
      </c>
      <c r="R11" s="3">
        <v>4323620</v>
      </c>
      <c r="S11" s="13">
        <v>7.2499999999999995E-2</v>
      </c>
      <c r="T11" s="3">
        <v>5440479</v>
      </c>
      <c r="U11" s="13">
        <v>9.1200000000000003E-2</v>
      </c>
      <c r="V11" s="3">
        <v>806765</v>
      </c>
      <c r="W11" s="13">
        <v>1.35E-2</v>
      </c>
      <c r="X11" s="3">
        <v>4803649</v>
      </c>
      <c r="Y11" s="13">
        <v>8.0500000000000002E-2</v>
      </c>
      <c r="Z11" s="3">
        <v>322309</v>
      </c>
      <c r="AA11" s="13">
        <v>5.4000000000000003E-3</v>
      </c>
      <c r="AB11" s="3">
        <v>2463994</v>
      </c>
      <c r="AC11" s="13">
        <v>4.1300000000000003E-2</v>
      </c>
      <c r="AD11" s="3">
        <v>113934</v>
      </c>
      <c r="AE11" s="17">
        <v>1.9E-3</v>
      </c>
      <c r="AF11" s="89">
        <v>0.71199999999999997</v>
      </c>
      <c r="AG11" s="80">
        <v>0.70599999999999996</v>
      </c>
      <c r="AH11" s="3">
        <v>47476004</v>
      </c>
      <c r="AI11" s="3">
        <v>3025428</v>
      </c>
      <c r="AJ11" s="3">
        <v>2342958</v>
      </c>
      <c r="AK11" s="3">
        <f t="shared" si="1"/>
        <v>5368386</v>
      </c>
      <c r="AL11" s="3">
        <v>731139</v>
      </c>
      <c r="AM11" s="13">
        <f>AH11/C11</f>
        <v>0.7959694802163475</v>
      </c>
      <c r="AN11" s="13">
        <f>AH11/E11</f>
        <v>0.98771541024607146</v>
      </c>
      <c r="AO11" s="3">
        <f>AH11/B11</f>
        <v>1518.9890897456407</v>
      </c>
      <c r="AP11" s="13">
        <f>AJ11/E11</f>
        <v>4.874411338745601E-2</v>
      </c>
      <c r="AQ11" s="13">
        <f>AI11/E11</f>
        <v>6.2942573224780071E-2</v>
      </c>
      <c r="AR11" s="13">
        <f>AK11/E11</f>
        <v>0.11168668661223609</v>
      </c>
      <c r="AS11" s="12">
        <f>AL11/B11</f>
        <v>23.392705167173251</v>
      </c>
      <c r="AT11" s="20">
        <v>15245826</v>
      </c>
      <c r="AU11" s="20">
        <f>AV11+AW11</f>
        <v>76987691</v>
      </c>
      <c r="AV11" s="20">
        <v>26080248</v>
      </c>
      <c r="AW11" s="20">
        <v>50907443</v>
      </c>
    </row>
    <row r="12" spans="1:49">
      <c r="A12" s="1">
        <v>2025</v>
      </c>
      <c r="B12" s="2">
        <v>31720</v>
      </c>
      <c r="C12" s="8">
        <v>66837874</v>
      </c>
      <c r="D12" s="11">
        <f t="shared" si="3"/>
        <v>2107.1208701134929</v>
      </c>
      <c r="E12" s="3">
        <v>50857424</v>
      </c>
      <c r="F12" s="11">
        <f t="shared" si="4"/>
        <v>1603.3235813366962</v>
      </c>
      <c r="G12" s="3">
        <v>12129547</v>
      </c>
      <c r="H12" s="43">
        <v>22007584</v>
      </c>
      <c r="I12" s="42">
        <v>0</v>
      </c>
      <c r="J12" s="3">
        <v>24856730</v>
      </c>
      <c r="K12" s="10">
        <f t="shared" si="0"/>
        <v>0.48875322509453095</v>
      </c>
      <c r="L12" s="8">
        <v>36186927</v>
      </c>
      <c r="M12" s="13">
        <v>0.54139999999999999</v>
      </c>
      <c r="N12" s="3">
        <v>3591444</v>
      </c>
      <c r="O12" s="13">
        <v>5.3699999999999998E-2</v>
      </c>
      <c r="P12" s="3">
        <v>3725468</v>
      </c>
      <c r="Q12" s="13">
        <v>5.57E-2</v>
      </c>
      <c r="R12" s="3">
        <v>4888106</v>
      </c>
      <c r="S12" s="13">
        <v>7.3099999999999998E-2</v>
      </c>
      <c r="T12" s="3">
        <v>7608378</v>
      </c>
      <c r="U12" s="13">
        <v>0.1138</v>
      </c>
      <c r="V12" s="3">
        <v>378807</v>
      </c>
      <c r="W12" s="13">
        <v>5.7000000000000002E-3</v>
      </c>
      <c r="X12" s="3">
        <v>7098566</v>
      </c>
      <c r="Y12" s="13">
        <v>0.1062</v>
      </c>
      <c r="Z12" s="3">
        <v>134235</v>
      </c>
      <c r="AA12" s="13">
        <v>2E-3</v>
      </c>
      <c r="AB12" s="3">
        <v>2357398</v>
      </c>
      <c r="AC12" s="13">
        <v>3.5299999999999998E-2</v>
      </c>
      <c r="AD12" s="3">
        <v>868545</v>
      </c>
      <c r="AE12" s="17">
        <v>1.2999999999999999E-2</v>
      </c>
      <c r="AF12" s="89">
        <v>0.73</v>
      </c>
      <c r="AG12" s="80">
        <v>0.72299999999999998</v>
      </c>
      <c r="AH12" s="3">
        <v>46770921</v>
      </c>
      <c r="AI12" s="3">
        <v>3502112</v>
      </c>
      <c r="AJ12" s="3">
        <v>2807271</v>
      </c>
      <c r="AK12" s="3">
        <f>AI12+AJ12</f>
        <v>6309383</v>
      </c>
      <c r="AL12" s="3">
        <v>620848</v>
      </c>
      <c r="AM12" s="13">
        <f>AH12/C12</f>
        <v>0.69976673704492753</v>
      </c>
      <c r="AN12" s="13">
        <f>AH12/E12</f>
        <v>0.91964785711521679</v>
      </c>
      <c r="AO12" s="3">
        <f>AH12/B12</f>
        <v>1474.4930958385876</v>
      </c>
      <c r="AP12" s="13">
        <f>AJ12/E12</f>
        <v>5.5198843732234645E-2</v>
      </c>
      <c r="AQ12" s="13">
        <f>AI12/E12</f>
        <v>6.8861372137133808E-2</v>
      </c>
      <c r="AR12" s="13">
        <f>AK12/E12</f>
        <v>0.12406021586936845</v>
      </c>
      <c r="AS12" s="12">
        <f>AL12/B12</f>
        <v>19.572761664564943</v>
      </c>
      <c r="AT12" s="20">
        <v>10828469</v>
      </c>
      <c r="AU12" s="20">
        <f>AV12+AW12</f>
        <v>101402600</v>
      </c>
      <c r="AV12" s="20">
        <v>47684107</v>
      </c>
      <c r="AW12" s="20">
        <v>53718493</v>
      </c>
    </row>
    <row r="13" spans="1:49">
      <c r="A13" s="1"/>
      <c r="B13" s="2"/>
      <c r="C13" s="3"/>
      <c r="D13" s="11"/>
      <c r="E13" s="3"/>
      <c r="F13" s="11"/>
      <c r="G13" s="3"/>
      <c r="H13" s="42"/>
      <c r="I13" s="42"/>
      <c r="J13" s="3"/>
      <c r="K13" s="45"/>
      <c r="L13" s="3"/>
      <c r="M13" s="13"/>
      <c r="N13" s="3"/>
      <c r="O13" s="13"/>
      <c r="P13" s="3"/>
      <c r="Q13" s="13"/>
      <c r="R13" s="3"/>
      <c r="S13" s="13"/>
      <c r="T13" s="3"/>
      <c r="U13" s="13"/>
      <c r="V13" s="3"/>
      <c r="W13" s="13"/>
      <c r="X13" s="3"/>
      <c r="Y13" s="13"/>
      <c r="Z13" s="3"/>
      <c r="AA13" s="13"/>
      <c r="AB13" s="3"/>
      <c r="AC13" s="13"/>
      <c r="AD13" s="3"/>
      <c r="AE13" s="13"/>
      <c r="AH13" s="3"/>
      <c r="AI13" s="3"/>
      <c r="AJ13" s="3"/>
      <c r="AK13" s="3"/>
      <c r="AL13" s="3"/>
      <c r="AM13" s="13"/>
      <c r="AN13" s="13"/>
      <c r="AO13" s="3"/>
      <c r="AP13" s="13"/>
      <c r="AQ13" s="13"/>
      <c r="AR13" s="13"/>
      <c r="AS13" s="3"/>
      <c r="AT13" s="20"/>
      <c r="AU13" s="20"/>
      <c r="AV13" s="20"/>
      <c r="AW13" s="20"/>
    </row>
    <row r="14" spans="1:49">
      <c r="A14" s="1"/>
      <c r="B14" s="2"/>
      <c r="C14" s="3"/>
      <c r="D14" s="11"/>
      <c r="E14" s="3"/>
      <c r="F14" s="11"/>
      <c r="G14" s="3"/>
      <c r="H14" s="42"/>
      <c r="I14" s="42"/>
      <c r="J14" s="3"/>
      <c r="K14" s="45"/>
      <c r="L14" s="3"/>
      <c r="M14" s="13"/>
      <c r="N14" s="3"/>
      <c r="O14" s="13"/>
      <c r="P14" s="3"/>
      <c r="Q14" s="13"/>
      <c r="R14" s="3"/>
      <c r="S14" s="13"/>
      <c r="T14" s="3"/>
      <c r="U14" s="13"/>
      <c r="V14" s="3"/>
      <c r="W14" s="13"/>
      <c r="X14" s="3"/>
      <c r="Y14" s="13"/>
      <c r="Z14" s="3"/>
      <c r="AA14" s="13"/>
      <c r="AB14" s="3"/>
      <c r="AC14" s="13"/>
      <c r="AD14" s="3"/>
      <c r="AE14" s="13"/>
      <c r="AH14" s="3"/>
      <c r="AI14" s="3"/>
      <c r="AJ14" s="3"/>
      <c r="AK14" s="3"/>
      <c r="AL14" s="3"/>
      <c r="AM14" s="13"/>
      <c r="AN14" s="13"/>
      <c r="AO14" s="3"/>
      <c r="AP14" s="13"/>
      <c r="AQ14" s="13"/>
      <c r="AR14" s="13"/>
      <c r="AS14" s="3"/>
      <c r="AT14" s="20"/>
      <c r="AU14" s="20"/>
      <c r="AV14" s="20"/>
      <c r="AW14" s="20"/>
    </row>
  </sheetData>
  <mergeCells count="5">
    <mergeCell ref="C1:G1"/>
    <mergeCell ref="J1:K1"/>
    <mergeCell ref="L1:AE1"/>
    <mergeCell ref="AF1:AS1"/>
    <mergeCell ref="AT1:A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78FC-EB06-44B0-B08B-2C45A5AC17AF}">
  <dimension ref="A2:J15"/>
  <sheetViews>
    <sheetView tabSelected="1" topLeftCell="B1" workbookViewId="0">
      <selection activeCell="F1" sqref="F1:G1048576"/>
    </sheetView>
  </sheetViews>
  <sheetFormatPr defaultRowHeight="15"/>
  <cols>
    <col min="5" max="5" width="21.42578125" customWidth="1"/>
    <col min="6" max="6" width="16.85546875" customWidth="1"/>
    <col min="7" max="7" width="17.140625" customWidth="1"/>
    <col min="8" max="8" width="16.28515625" customWidth="1"/>
    <col min="9" max="9" width="17.7109375" customWidth="1"/>
    <col min="10" max="10" width="16" customWidth="1"/>
  </cols>
  <sheetData>
    <row r="2" spans="1:10">
      <c r="A2" s="122" t="s">
        <v>115</v>
      </c>
      <c r="B2" s="122"/>
      <c r="C2" s="122"/>
      <c r="D2" s="122"/>
      <c r="E2" s="122"/>
      <c r="F2" s="122"/>
      <c r="G2" s="122"/>
      <c r="H2" s="122"/>
      <c r="I2" s="122"/>
      <c r="J2" s="122"/>
    </row>
    <row r="3" spans="1:10">
      <c r="A3" s="122" t="s">
        <v>116</v>
      </c>
      <c r="B3" s="122"/>
      <c r="C3" s="122"/>
      <c r="D3" s="122"/>
      <c r="E3" s="122"/>
      <c r="F3" s="122"/>
      <c r="G3" s="122"/>
      <c r="H3" s="122"/>
      <c r="I3" s="122"/>
      <c r="J3" s="122"/>
    </row>
    <row r="5" spans="1:10"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</row>
    <row r="6" spans="1:10">
      <c r="D6">
        <v>2016</v>
      </c>
      <c r="E6" s="54">
        <v>21682036</v>
      </c>
      <c r="F6" s="20">
        <v>125503064</v>
      </c>
      <c r="G6" s="54">
        <v>45638059</v>
      </c>
      <c r="H6" s="54">
        <v>52493693</v>
      </c>
      <c r="I6" s="54">
        <v>132953285</v>
      </c>
      <c r="J6" s="54">
        <v>67927697</v>
      </c>
    </row>
    <row r="7" spans="1:10">
      <c r="D7">
        <v>2017</v>
      </c>
      <c r="E7" s="54">
        <v>22285660</v>
      </c>
      <c r="F7" s="20">
        <v>146042353</v>
      </c>
      <c r="G7" s="54">
        <v>45114602</v>
      </c>
      <c r="H7" s="54">
        <v>56869287</v>
      </c>
      <c r="I7" s="54">
        <v>130694619</v>
      </c>
      <c r="J7" s="54">
        <v>71929369</v>
      </c>
    </row>
    <row r="8" spans="1:10">
      <c r="D8">
        <v>2018</v>
      </c>
      <c r="E8" s="54">
        <v>25561999</v>
      </c>
      <c r="F8" s="20">
        <v>164367573</v>
      </c>
      <c r="G8" s="54">
        <v>43850305</v>
      </c>
      <c r="H8" s="54">
        <v>57165967</v>
      </c>
      <c r="I8" s="54">
        <v>132954212</v>
      </c>
      <c r="J8" s="54">
        <v>75754871</v>
      </c>
    </row>
    <row r="9" spans="1:10">
      <c r="D9" s="1">
        <v>2019</v>
      </c>
      <c r="E9" s="54">
        <v>28325319</v>
      </c>
      <c r="F9" s="20">
        <v>188491267</v>
      </c>
      <c r="G9" s="54">
        <v>45050989</v>
      </c>
      <c r="H9" s="54">
        <v>58742245</v>
      </c>
      <c r="I9" s="54">
        <v>144382572</v>
      </c>
      <c r="J9" s="54">
        <v>85525291</v>
      </c>
    </row>
    <row r="10" spans="1:10">
      <c r="D10" s="1">
        <v>2020</v>
      </c>
      <c r="E10" s="54">
        <v>28799507</v>
      </c>
      <c r="F10" s="20">
        <v>208607971</v>
      </c>
      <c r="G10" s="54">
        <v>44049667</v>
      </c>
      <c r="H10" s="54">
        <v>60129255</v>
      </c>
      <c r="I10" s="54">
        <v>146978173</v>
      </c>
      <c r="J10" s="54">
        <v>74684152</v>
      </c>
    </row>
    <row r="11" spans="1:10">
      <c r="D11" s="1">
        <v>2021</v>
      </c>
      <c r="E11" s="54">
        <v>31244145</v>
      </c>
      <c r="F11" s="20">
        <v>197955968</v>
      </c>
      <c r="G11" s="54">
        <v>56967883</v>
      </c>
      <c r="H11" s="54">
        <v>58133703</v>
      </c>
      <c r="I11" s="54">
        <v>165400961</v>
      </c>
      <c r="J11" s="54">
        <v>58373587</v>
      </c>
    </row>
    <row r="12" spans="1:10">
      <c r="D12" s="1">
        <v>2022</v>
      </c>
      <c r="E12" s="54">
        <v>34555852</v>
      </c>
      <c r="F12" s="20">
        <v>196820680</v>
      </c>
      <c r="G12" s="54">
        <v>89494571</v>
      </c>
      <c r="H12" s="54">
        <v>51943374</v>
      </c>
      <c r="I12" s="54">
        <v>170732448</v>
      </c>
      <c r="J12" s="54">
        <v>57170156</v>
      </c>
    </row>
    <row r="13" spans="1:10">
      <c r="D13" s="1">
        <v>2023</v>
      </c>
      <c r="E13" s="54">
        <v>40048722</v>
      </c>
      <c r="F13" s="20">
        <v>226195835</v>
      </c>
      <c r="G13" s="54">
        <v>99989098</v>
      </c>
      <c r="H13" s="54">
        <v>62610886</v>
      </c>
      <c r="I13" s="54">
        <v>180525932</v>
      </c>
      <c r="J13" s="54">
        <v>68953728</v>
      </c>
    </row>
    <row r="14" spans="1:10">
      <c r="D14" s="1">
        <v>2024</v>
      </c>
      <c r="E14" s="54">
        <v>48172175</v>
      </c>
      <c r="F14" s="20">
        <v>255017259</v>
      </c>
      <c r="G14" s="54">
        <v>95314826</v>
      </c>
      <c r="H14" s="54">
        <v>66330029</v>
      </c>
      <c r="I14" s="54">
        <v>187413468</v>
      </c>
      <c r="J14" s="54">
        <v>76987691</v>
      </c>
    </row>
    <row r="15" spans="1:10">
      <c r="D15" s="1">
        <v>2025</v>
      </c>
      <c r="E15" s="54">
        <v>52202648</v>
      </c>
      <c r="F15" s="20">
        <v>273804510</v>
      </c>
      <c r="G15" s="54">
        <v>71480813</v>
      </c>
      <c r="H15" s="54">
        <v>73091132</v>
      </c>
      <c r="I15" s="54">
        <v>208026195</v>
      </c>
      <c r="J15" s="54">
        <v>101402600</v>
      </c>
    </row>
  </sheetData>
  <mergeCells count="2">
    <mergeCell ref="A2:J2"/>
    <mergeCell ref="A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May</dc:creator>
  <cp:keywords/>
  <dc:description/>
  <cp:lastModifiedBy>Hannah May</cp:lastModifiedBy>
  <cp:revision/>
  <dcterms:created xsi:type="dcterms:W3CDTF">2026-07-06T17:22:19Z</dcterms:created>
  <dcterms:modified xsi:type="dcterms:W3CDTF">2026-08-05T16:08:18Z</dcterms:modified>
  <cp:category/>
  <cp:contentStatus/>
</cp:coreProperties>
</file>